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q\OneDrive\Documentos\01 MinSalud\Circular 19 de 2024 actualizacion PMV\"/>
    </mc:Choice>
  </mc:AlternateContent>
  <xr:revisionPtr revIDLastSave="0" documentId="13_ncr:1_{0B646DCE-4669-4ED4-8A79-A0AF32C216F5}" xr6:coauthVersionLast="47" xr6:coauthVersionMax="47" xr10:uidLastSave="{00000000-0000-0000-0000-000000000000}"/>
  <bookViews>
    <workbookView xWindow="-108" yWindow="-108" windowWidth="23256" windowHeight="12456" xr2:uid="{0984FAE6-E11B-41FA-BA46-5DDCCBBE582B}"/>
  </bookViews>
  <sheets>
    <sheet name="INICIO" sheetId="6" r:id="rId1"/>
    <sheet name="PRECIOS" sheetId="1" r:id="rId2"/>
    <sheet name="MRI" sheetId="3" r:id="rId3"/>
    <sheet name="TC" sheetId="2" r:id="rId4"/>
    <sheet name="PRI" sheetId="4" r:id="rId5"/>
    <sheet name="FUENTES" sheetId="7" r:id="rId6"/>
    <sheet name="MARGEN" sheetId="8" r:id="rId7"/>
  </sheets>
  <definedNames>
    <definedName name="_xlnm._FilterDatabase" localSheetId="5" hidden="1">FUENTES!$A$4:$D$4</definedName>
    <definedName name="_xlnm._FilterDatabase" localSheetId="6" hidden="1">MARGEN!$B$5:$B$22</definedName>
    <definedName name="_xlnm._FilterDatabase" localSheetId="1" hidden="1">PRECIOS!$A$1:$R$556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8" l="1"/>
  <c r="C54" i="8"/>
  <c r="C48" i="8"/>
  <c r="C46" i="8"/>
  <c r="C45" i="8"/>
  <c r="C44" i="8"/>
  <c r="C39" i="8"/>
  <c r="C35" i="8"/>
  <c r="C34" i="8"/>
  <c r="C33" i="8"/>
  <c r="C32" i="8"/>
  <c r="C23" i="8"/>
  <c r="C7" i="8"/>
  <c r="N3" i="1" l="1"/>
  <c r="O3" i="1" s="1"/>
  <c r="Q3" i="1" s="1"/>
  <c r="P3" i="1"/>
  <c r="N4" i="1"/>
  <c r="O4" i="1" s="1"/>
  <c r="Q4" i="1" s="1"/>
  <c r="P4" i="1"/>
  <c r="N5" i="1"/>
  <c r="O5" i="1"/>
  <c r="Q5" i="1" s="1"/>
  <c r="P5" i="1"/>
  <c r="R5" i="1" s="1"/>
  <c r="N6" i="1"/>
  <c r="O6" i="1" s="1"/>
  <c r="Q6" i="1" s="1"/>
  <c r="P6" i="1"/>
  <c r="N7" i="1"/>
  <c r="O7" i="1" s="1"/>
  <c r="Q7" i="1" s="1"/>
  <c r="P7" i="1"/>
  <c r="R7" i="1" s="1"/>
  <c r="N8" i="1"/>
  <c r="O8" i="1" s="1"/>
  <c r="Q8" i="1" s="1"/>
  <c r="P8" i="1"/>
  <c r="N9" i="1"/>
  <c r="O9" i="1" s="1"/>
  <c r="Q9" i="1" s="1"/>
  <c r="P9" i="1"/>
  <c r="R9" i="1" s="1"/>
  <c r="N10" i="1"/>
  <c r="O10" i="1" s="1"/>
  <c r="Q10" i="1" s="1"/>
  <c r="P10" i="1"/>
  <c r="N11" i="1"/>
  <c r="O11" i="1" s="1"/>
  <c r="Q11" i="1" s="1"/>
  <c r="P11" i="1"/>
  <c r="N12" i="1"/>
  <c r="O12" i="1" s="1"/>
  <c r="Q12" i="1" s="1"/>
  <c r="P12" i="1"/>
  <c r="N13" i="1"/>
  <c r="O13" i="1" s="1"/>
  <c r="Q13" i="1" s="1"/>
  <c r="P13" i="1"/>
  <c r="R13" i="1" s="1"/>
  <c r="N14" i="1"/>
  <c r="O14" i="1" s="1"/>
  <c r="Q14" i="1" s="1"/>
  <c r="P14" i="1"/>
  <c r="N15" i="1"/>
  <c r="O15" i="1" s="1"/>
  <c r="Q15" i="1" s="1"/>
  <c r="P15" i="1"/>
  <c r="N16" i="1"/>
  <c r="O16" i="1" s="1"/>
  <c r="Q16" i="1" s="1"/>
  <c r="P16" i="1"/>
  <c r="N17" i="1"/>
  <c r="O17" i="1" s="1"/>
  <c r="Q17" i="1" s="1"/>
  <c r="P17" i="1"/>
  <c r="R17" i="1" s="1"/>
  <c r="N18" i="1"/>
  <c r="O18" i="1" s="1"/>
  <c r="Q18" i="1" s="1"/>
  <c r="P18" i="1"/>
  <c r="R18" i="1" s="1"/>
  <c r="N19" i="1"/>
  <c r="O19" i="1" s="1"/>
  <c r="Q19" i="1" s="1"/>
  <c r="P19" i="1"/>
  <c r="N20" i="1"/>
  <c r="O20" i="1" s="1"/>
  <c r="Q20" i="1" s="1"/>
  <c r="P20" i="1"/>
  <c r="R20" i="1" s="1"/>
  <c r="N21" i="1"/>
  <c r="O21" i="1" s="1"/>
  <c r="Q21" i="1" s="1"/>
  <c r="P21" i="1"/>
  <c r="R21" i="1" s="1"/>
  <c r="N22" i="1"/>
  <c r="O22" i="1" s="1"/>
  <c r="Q22" i="1" s="1"/>
  <c r="P22" i="1"/>
  <c r="N23" i="1"/>
  <c r="O23" i="1" s="1"/>
  <c r="Q23" i="1" s="1"/>
  <c r="P23" i="1"/>
  <c r="R23" i="1" s="1"/>
  <c r="N24" i="1"/>
  <c r="O24" i="1" s="1"/>
  <c r="Q24" i="1" s="1"/>
  <c r="P24" i="1"/>
  <c r="R24" i="1" s="1"/>
  <c r="N25" i="1"/>
  <c r="O25" i="1" s="1"/>
  <c r="Q25" i="1" s="1"/>
  <c r="P25" i="1"/>
  <c r="N26" i="1"/>
  <c r="O26" i="1" s="1"/>
  <c r="Q26" i="1" s="1"/>
  <c r="P26" i="1"/>
  <c r="R26" i="1" s="1"/>
  <c r="N27" i="1"/>
  <c r="O27" i="1" s="1"/>
  <c r="Q27" i="1" s="1"/>
  <c r="P27" i="1"/>
  <c r="R27" i="1" s="1"/>
  <c r="N28" i="1"/>
  <c r="O28" i="1" s="1"/>
  <c r="Q28" i="1" s="1"/>
  <c r="P28" i="1"/>
  <c r="N29" i="1"/>
  <c r="O29" i="1" s="1"/>
  <c r="Q29" i="1" s="1"/>
  <c r="P29" i="1"/>
  <c r="R29" i="1" s="1"/>
  <c r="N30" i="1"/>
  <c r="O30" i="1" s="1"/>
  <c r="Q30" i="1" s="1"/>
  <c r="P30" i="1"/>
  <c r="R30" i="1" s="1"/>
  <c r="N31" i="1"/>
  <c r="O31" i="1" s="1"/>
  <c r="Q31" i="1" s="1"/>
  <c r="P31" i="1"/>
  <c r="N32" i="1"/>
  <c r="O32" i="1" s="1"/>
  <c r="Q32" i="1" s="1"/>
  <c r="P32" i="1"/>
  <c r="R32" i="1" s="1"/>
  <c r="N33" i="1"/>
  <c r="O33" i="1" s="1"/>
  <c r="Q33" i="1" s="1"/>
  <c r="P33" i="1"/>
  <c r="R33" i="1" s="1"/>
  <c r="N34" i="1"/>
  <c r="O34" i="1" s="1"/>
  <c r="Q34" i="1" s="1"/>
  <c r="P34" i="1"/>
  <c r="N35" i="1"/>
  <c r="O35" i="1" s="1"/>
  <c r="Q35" i="1" s="1"/>
  <c r="P35" i="1"/>
  <c r="R35" i="1" s="1"/>
  <c r="N36" i="1"/>
  <c r="O36" i="1" s="1"/>
  <c r="Q36" i="1" s="1"/>
  <c r="P36" i="1"/>
  <c r="R36" i="1" s="1"/>
  <c r="N37" i="1"/>
  <c r="O37" i="1" s="1"/>
  <c r="Q37" i="1" s="1"/>
  <c r="P37" i="1"/>
  <c r="N38" i="1"/>
  <c r="O38" i="1" s="1"/>
  <c r="Q38" i="1" s="1"/>
  <c r="P38" i="1"/>
  <c r="R38" i="1" s="1"/>
  <c r="N39" i="1"/>
  <c r="O39" i="1" s="1"/>
  <c r="Q39" i="1" s="1"/>
  <c r="P39" i="1"/>
  <c r="R39" i="1" s="1"/>
  <c r="N40" i="1"/>
  <c r="O40" i="1" s="1"/>
  <c r="Q40" i="1" s="1"/>
  <c r="P40" i="1"/>
  <c r="N41" i="1"/>
  <c r="O41" i="1" s="1"/>
  <c r="Q41" i="1" s="1"/>
  <c r="P41" i="1"/>
  <c r="N42" i="1"/>
  <c r="O42" i="1" s="1"/>
  <c r="Q42" i="1" s="1"/>
  <c r="P42" i="1"/>
  <c r="N43" i="1"/>
  <c r="O43" i="1" s="1"/>
  <c r="Q43" i="1" s="1"/>
  <c r="P43" i="1"/>
  <c r="N44" i="1"/>
  <c r="O44" i="1" s="1"/>
  <c r="Q44" i="1" s="1"/>
  <c r="P44" i="1"/>
  <c r="N45" i="1"/>
  <c r="O45" i="1" s="1"/>
  <c r="Q45" i="1" s="1"/>
  <c r="P45" i="1"/>
  <c r="N46" i="1"/>
  <c r="O46" i="1" s="1"/>
  <c r="Q46" i="1" s="1"/>
  <c r="P46" i="1"/>
  <c r="N47" i="1"/>
  <c r="O47" i="1" s="1"/>
  <c r="Q47" i="1" s="1"/>
  <c r="P47" i="1"/>
  <c r="N48" i="1"/>
  <c r="O48" i="1" s="1"/>
  <c r="Q48" i="1" s="1"/>
  <c r="P48" i="1"/>
  <c r="N49" i="1"/>
  <c r="O49" i="1" s="1"/>
  <c r="Q49" i="1" s="1"/>
  <c r="P49" i="1"/>
  <c r="N50" i="1"/>
  <c r="O50" i="1" s="1"/>
  <c r="Q50" i="1" s="1"/>
  <c r="P50" i="1"/>
  <c r="N51" i="1"/>
  <c r="O51" i="1" s="1"/>
  <c r="Q51" i="1" s="1"/>
  <c r="P51" i="1"/>
  <c r="R51" i="1" s="1"/>
  <c r="N52" i="1"/>
  <c r="O52" i="1" s="1"/>
  <c r="Q52" i="1" s="1"/>
  <c r="P52" i="1"/>
  <c r="N53" i="1"/>
  <c r="O53" i="1" s="1"/>
  <c r="Q53" i="1" s="1"/>
  <c r="P53" i="1"/>
  <c r="R53" i="1" s="1"/>
  <c r="N54" i="1"/>
  <c r="O54" i="1" s="1"/>
  <c r="Q54" i="1" s="1"/>
  <c r="P54" i="1"/>
  <c r="N55" i="1"/>
  <c r="O55" i="1" s="1"/>
  <c r="Q55" i="1" s="1"/>
  <c r="P55" i="1"/>
  <c r="R55" i="1" s="1"/>
  <c r="N56" i="1"/>
  <c r="O56" i="1" s="1"/>
  <c r="Q56" i="1" s="1"/>
  <c r="P56" i="1"/>
  <c r="N57" i="1"/>
  <c r="O57" i="1" s="1"/>
  <c r="Q57" i="1" s="1"/>
  <c r="P57" i="1"/>
  <c r="R57" i="1" s="1"/>
  <c r="N58" i="1"/>
  <c r="O58" i="1" s="1"/>
  <c r="Q58" i="1" s="1"/>
  <c r="P58" i="1"/>
  <c r="N59" i="1"/>
  <c r="O59" i="1" s="1"/>
  <c r="Q59" i="1" s="1"/>
  <c r="P59" i="1"/>
  <c r="R59" i="1" s="1"/>
  <c r="N60" i="1"/>
  <c r="O60" i="1" s="1"/>
  <c r="Q60" i="1" s="1"/>
  <c r="P60" i="1"/>
  <c r="N61" i="1"/>
  <c r="O61" i="1" s="1"/>
  <c r="Q61" i="1" s="1"/>
  <c r="P61" i="1"/>
  <c r="R61" i="1" s="1"/>
  <c r="N62" i="1"/>
  <c r="O62" i="1" s="1"/>
  <c r="Q62" i="1" s="1"/>
  <c r="P62" i="1"/>
  <c r="N63" i="1"/>
  <c r="O63" i="1" s="1"/>
  <c r="Q63" i="1" s="1"/>
  <c r="P63" i="1"/>
  <c r="R63" i="1" s="1"/>
  <c r="N64" i="1"/>
  <c r="O64" i="1" s="1"/>
  <c r="Q64" i="1" s="1"/>
  <c r="P64" i="1"/>
  <c r="N65" i="1"/>
  <c r="O65" i="1" s="1"/>
  <c r="Q65" i="1" s="1"/>
  <c r="P65" i="1"/>
  <c r="R65" i="1" s="1"/>
  <c r="N66" i="1"/>
  <c r="O66" i="1" s="1"/>
  <c r="Q66" i="1" s="1"/>
  <c r="P66" i="1"/>
  <c r="N67" i="1"/>
  <c r="O67" i="1" s="1"/>
  <c r="Q67" i="1" s="1"/>
  <c r="P67" i="1"/>
  <c r="R67" i="1" s="1"/>
  <c r="N68" i="1"/>
  <c r="O68" i="1" s="1"/>
  <c r="Q68" i="1" s="1"/>
  <c r="P68" i="1"/>
  <c r="N69" i="1"/>
  <c r="O69" i="1" s="1"/>
  <c r="Q69" i="1" s="1"/>
  <c r="P69" i="1"/>
  <c r="R69" i="1" s="1"/>
  <c r="N70" i="1"/>
  <c r="O70" i="1" s="1"/>
  <c r="Q70" i="1" s="1"/>
  <c r="P70" i="1"/>
  <c r="N71" i="1"/>
  <c r="O71" i="1"/>
  <c r="Q71" i="1" s="1"/>
  <c r="P71" i="1"/>
  <c r="R71" i="1" s="1"/>
  <c r="N72" i="1"/>
  <c r="O72" i="1" s="1"/>
  <c r="Q72" i="1" s="1"/>
  <c r="P72" i="1"/>
  <c r="N73" i="1"/>
  <c r="O73" i="1" s="1"/>
  <c r="Q73" i="1" s="1"/>
  <c r="P73" i="1"/>
  <c r="R73" i="1" s="1"/>
  <c r="N74" i="1"/>
  <c r="O74" i="1" s="1"/>
  <c r="Q74" i="1" s="1"/>
  <c r="P74" i="1"/>
  <c r="N75" i="1"/>
  <c r="O75" i="1" s="1"/>
  <c r="Q75" i="1" s="1"/>
  <c r="P75" i="1"/>
  <c r="R75" i="1" s="1"/>
  <c r="N76" i="1"/>
  <c r="O76" i="1" s="1"/>
  <c r="Q76" i="1" s="1"/>
  <c r="P76" i="1"/>
  <c r="N77" i="1"/>
  <c r="O77" i="1" s="1"/>
  <c r="Q77" i="1" s="1"/>
  <c r="P77" i="1"/>
  <c r="R77" i="1" s="1"/>
  <c r="N78" i="1"/>
  <c r="O78" i="1" s="1"/>
  <c r="Q78" i="1" s="1"/>
  <c r="P78" i="1"/>
  <c r="N79" i="1"/>
  <c r="O79" i="1" s="1"/>
  <c r="Q79" i="1" s="1"/>
  <c r="P79" i="1"/>
  <c r="R79" i="1" s="1"/>
  <c r="N80" i="1"/>
  <c r="O80" i="1" s="1"/>
  <c r="Q80" i="1" s="1"/>
  <c r="P80" i="1"/>
  <c r="N81" i="1"/>
  <c r="O81" i="1" s="1"/>
  <c r="Q81" i="1" s="1"/>
  <c r="P81" i="1"/>
  <c r="R81" i="1" s="1"/>
  <c r="N82" i="1"/>
  <c r="O82" i="1" s="1"/>
  <c r="Q82" i="1" s="1"/>
  <c r="P82" i="1"/>
  <c r="N83" i="1"/>
  <c r="O83" i="1" s="1"/>
  <c r="Q83" i="1" s="1"/>
  <c r="P83" i="1"/>
  <c r="R83" i="1" s="1"/>
  <c r="N84" i="1"/>
  <c r="O84" i="1" s="1"/>
  <c r="Q84" i="1" s="1"/>
  <c r="P84" i="1"/>
  <c r="N85" i="1"/>
  <c r="O85" i="1" s="1"/>
  <c r="Q85" i="1" s="1"/>
  <c r="P85" i="1"/>
  <c r="R85" i="1" s="1"/>
  <c r="N86" i="1"/>
  <c r="O86" i="1" s="1"/>
  <c r="Q86" i="1" s="1"/>
  <c r="P86" i="1"/>
  <c r="N87" i="1"/>
  <c r="O87" i="1" s="1"/>
  <c r="Q87" i="1" s="1"/>
  <c r="P87" i="1"/>
  <c r="R87" i="1" s="1"/>
  <c r="N88" i="1"/>
  <c r="O88" i="1" s="1"/>
  <c r="Q88" i="1" s="1"/>
  <c r="P88" i="1"/>
  <c r="N89" i="1"/>
  <c r="O89" i="1" s="1"/>
  <c r="Q89" i="1" s="1"/>
  <c r="P89" i="1"/>
  <c r="R89" i="1" s="1"/>
  <c r="N90" i="1"/>
  <c r="O90" i="1" s="1"/>
  <c r="Q90" i="1" s="1"/>
  <c r="P90" i="1"/>
  <c r="N91" i="1"/>
  <c r="O91" i="1" s="1"/>
  <c r="Q91" i="1" s="1"/>
  <c r="P91" i="1"/>
  <c r="N92" i="1"/>
  <c r="O92" i="1" s="1"/>
  <c r="Q92" i="1" s="1"/>
  <c r="P92" i="1"/>
  <c r="N93" i="1"/>
  <c r="O93" i="1" s="1"/>
  <c r="Q93" i="1" s="1"/>
  <c r="P93" i="1"/>
  <c r="N94" i="1"/>
  <c r="O94" i="1" s="1"/>
  <c r="Q94" i="1" s="1"/>
  <c r="P94" i="1"/>
  <c r="N95" i="1"/>
  <c r="O95" i="1" s="1"/>
  <c r="Q95" i="1" s="1"/>
  <c r="P95" i="1"/>
  <c r="N96" i="1"/>
  <c r="O96" i="1" s="1"/>
  <c r="Q96" i="1" s="1"/>
  <c r="P96" i="1"/>
  <c r="R96" i="1" s="1"/>
  <c r="N97" i="1"/>
  <c r="O97" i="1" s="1"/>
  <c r="Q97" i="1" s="1"/>
  <c r="P97" i="1"/>
  <c r="R97" i="1" s="1"/>
  <c r="N98" i="1"/>
  <c r="O98" i="1" s="1"/>
  <c r="Q98" i="1" s="1"/>
  <c r="P98" i="1"/>
  <c r="N99" i="1"/>
  <c r="O99" i="1" s="1"/>
  <c r="Q99" i="1" s="1"/>
  <c r="P99" i="1"/>
  <c r="R99" i="1" s="1"/>
  <c r="N100" i="1"/>
  <c r="O100" i="1" s="1"/>
  <c r="Q100" i="1" s="1"/>
  <c r="P100" i="1"/>
  <c r="R100" i="1" s="1"/>
  <c r="N101" i="1"/>
  <c r="O101" i="1" s="1"/>
  <c r="Q101" i="1" s="1"/>
  <c r="P101" i="1"/>
  <c r="N102" i="1"/>
  <c r="O102" i="1" s="1"/>
  <c r="Q102" i="1" s="1"/>
  <c r="P102" i="1"/>
  <c r="R102" i="1" s="1"/>
  <c r="N103" i="1"/>
  <c r="O103" i="1" s="1"/>
  <c r="Q103" i="1" s="1"/>
  <c r="P103" i="1"/>
  <c r="R103" i="1" s="1"/>
  <c r="N104" i="1"/>
  <c r="O104" i="1" s="1"/>
  <c r="Q104" i="1" s="1"/>
  <c r="P104" i="1"/>
  <c r="N105" i="1"/>
  <c r="O105" i="1" s="1"/>
  <c r="Q105" i="1" s="1"/>
  <c r="P105" i="1"/>
  <c r="R105" i="1" s="1"/>
  <c r="N106" i="1"/>
  <c r="O106" i="1" s="1"/>
  <c r="Q106" i="1" s="1"/>
  <c r="P106" i="1"/>
  <c r="R106" i="1" s="1"/>
  <c r="N107" i="1"/>
  <c r="O107" i="1" s="1"/>
  <c r="Q107" i="1" s="1"/>
  <c r="P107" i="1"/>
  <c r="N108" i="1"/>
  <c r="O108" i="1" s="1"/>
  <c r="Q108" i="1" s="1"/>
  <c r="P108" i="1"/>
  <c r="R108" i="1" s="1"/>
  <c r="N109" i="1"/>
  <c r="O109" i="1" s="1"/>
  <c r="Q109" i="1" s="1"/>
  <c r="P109" i="1"/>
  <c r="R109" i="1" s="1"/>
  <c r="N110" i="1"/>
  <c r="O110" i="1" s="1"/>
  <c r="Q110" i="1" s="1"/>
  <c r="P110" i="1"/>
  <c r="N111" i="1"/>
  <c r="O111" i="1" s="1"/>
  <c r="Q111" i="1" s="1"/>
  <c r="P111" i="1"/>
  <c r="R111" i="1" s="1"/>
  <c r="N112" i="1"/>
  <c r="O112" i="1" s="1"/>
  <c r="Q112" i="1" s="1"/>
  <c r="P112" i="1"/>
  <c r="R112" i="1" s="1"/>
  <c r="N113" i="1"/>
  <c r="O113" i="1" s="1"/>
  <c r="Q113" i="1" s="1"/>
  <c r="P113" i="1"/>
  <c r="N114" i="1"/>
  <c r="O114" i="1" s="1"/>
  <c r="Q114" i="1" s="1"/>
  <c r="P114" i="1"/>
  <c r="N115" i="1"/>
  <c r="O115" i="1" s="1"/>
  <c r="Q115" i="1" s="1"/>
  <c r="P115" i="1"/>
  <c r="N116" i="1"/>
  <c r="O116" i="1" s="1"/>
  <c r="Q116" i="1" s="1"/>
  <c r="P116" i="1"/>
  <c r="N117" i="1"/>
  <c r="O117" i="1" s="1"/>
  <c r="Q117" i="1" s="1"/>
  <c r="P117" i="1"/>
  <c r="N118" i="1"/>
  <c r="O118" i="1" s="1"/>
  <c r="Q118" i="1" s="1"/>
  <c r="P118" i="1"/>
  <c r="N119" i="1"/>
  <c r="O119" i="1" s="1"/>
  <c r="Q119" i="1" s="1"/>
  <c r="P119" i="1"/>
  <c r="N120" i="1"/>
  <c r="O120" i="1" s="1"/>
  <c r="Q120" i="1" s="1"/>
  <c r="P120" i="1"/>
  <c r="N121" i="1"/>
  <c r="O121" i="1" s="1"/>
  <c r="Q121" i="1" s="1"/>
  <c r="P121" i="1"/>
  <c r="N122" i="1"/>
  <c r="O122" i="1" s="1"/>
  <c r="Q122" i="1" s="1"/>
  <c r="P122" i="1"/>
  <c r="N123" i="1"/>
  <c r="O123" i="1" s="1"/>
  <c r="Q123" i="1" s="1"/>
  <c r="P123" i="1"/>
  <c r="N124" i="1"/>
  <c r="O124" i="1" s="1"/>
  <c r="Q124" i="1" s="1"/>
  <c r="P124" i="1"/>
  <c r="N125" i="1"/>
  <c r="O125" i="1" s="1"/>
  <c r="Q125" i="1" s="1"/>
  <c r="P125" i="1"/>
  <c r="N126" i="1"/>
  <c r="O126" i="1" s="1"/>
  <c r="Q126" i="1" s="1"/>
  <c r="P126" i="1"/>
  <c r="R126" i="1" s="1"/>
  <c r="N127" i="1"/>
  <c r="O127" i="1" s="1"/>
  <c r="Q127" i="1" s="1"/>
  <c r="P127" i="1"/>
  <c r="N128" i="1"/>
  <c r="O128" i="1" s="1"/>
  <c r="Q128" i="1" s="1"/>
  <c r="P128" i="1"/>
  <c r="R128" i="1" s="1"/>
  <c r="N129" i="1"/>
  <c r="O129" i="1" s="1"/>
  <c r="Q129" i="1" s="1"/>
  <c r="P129" i="1"/>
  <c r="R129" i="1" s="1"/>
  <c r="N130" i="1"/>
  <c r="O130" i="1" s="1"/>
  <c r="Q130" i="1" s="1"/>
  <c r="P130" i="1"/>
  <c r="N131" i="1"/>
  <c r="O131" i="1" s="1"/>
  <c r="Q131" i="1" s="1"/>
  <c r="P131" i="1"/>
  <c r="R131" i="1" s="1"/>
  <c r="N132" i="1"/>
  <c r="O132" i="1" s="1"/>
  <c r="Q132" i="1" s="1"/>
  <c r="P132" i="1"/>
  <c r="R132" i="1" s="1"/>
  <c r="N133" i="1"/>
  <c r="O133" i="1" s="1"/>
  <c r="Q133" i="1" s="1"/>
  <c r="P133" i="1"/>
  <c r="N134" i="1"/>
  <c r="O134" i="1" s="1"/>
  <c r="Q134" i="1" s="1"/>
  <c r="P134" i="1"/>
  <c r="R134" i="1" s="1"/>
  <c r="N135" i="1"/>
  <c r="O135" i="1" s="1"/>
  <c r="Q135" i="1" s="1"/>
  <c r="P135" i="1"/>
  <c r="R135" i="1" s="1"/>
  <c r="N136" i="1"/>
  <c r="O136" i="1" s="1"/>
  <c r="Q136" i="1" s="1"/>
  <c r="P136" i="1"/>
  <c r="N137" i="1"/>
  <c r="O137" i="1" s="1"/>
  <c r="Q137" i="1" s="1"/>
  <c r="P137" i="1"/>
  <c r="R137" i="1" s="1"/>
  <c r="N138" i="1"/>
  <c r="O138" i="1" s="1"/>
  <c r="Q138" i="1" s="1"/>
  <c r="P138" i="1"/>
  <c r="R138" i="1" s="1"/>
  <c r="N139" i="1"/>
  <c r="O139" i="1" s="1"/>
  <c r="Q139" i="1" s="1"/>
  <c r="P139" i="1"/>
  <c r="N140" i="1"/>
  <c r="O140" i="1" s="1"/>
  <c r="Q140" i="1" s="1"/>
  <c r="P140" i="1"/>
  <c r="R140" i="1" s="1"/>
  <c r="N141" i="1"/>
  <c r="O141" i="1" s="1"/>
  <c r="Q141" i="1" s="1"/>
  <c r="P141" i="1"/>
  <c r="R141" i="1" s="1"/>
  <c r="N142" i="1"/>
  <c r="O142" i="1" s="1"/>
  <c r="Q142" i="1" s="1"/>
  <c r="P142" i="1"/>
  <c r="N143" i="1"/>
  <c r="O143" i="1" s="1"/>
  <c r="Q143" i="1" s="1"/>
  <c r="P143" i="1"/>
  <c r="R143" i="1" s="1"/>
  <c r="N144" i="1"/>
  <c r="O144" i="1" s="1"/>
  <c r="Q144" i="1" s="1"/>
  <c r="P144" i="1"/>
  <c r="R144" i="1" s="1"/>
  <c r="N145" i="1"/>
  <c r="O145" i="1" s="1"/>
  <c r="Q145" i="1" s="1"/>
  <c r="P145" i="1"/>
  <c r="N146" i="1"/>
  <c r="O146" i="1" s="1"/>
  <c r="Q146" i="1" s="1"/>
  <c r="P146" i="1"/>
  <c r="R146" i="1" s="1"/>
  <c r="N147" i="1"/>
  <c r="O147" i="1" s="1"/>
  <c r="Q147" i="1" s="1"/>
  <c r="P147" i="1"/>
  <c r="N148" i="1"/>
  <c r="O148" i="1" s="1"/>
  <c r="Q148" i="1" s="1"/>
  <c r="P148" i="1"/>
  <c r="N149" i="1"/>
  <c r="O149" i="1" s="1"/>
  <c r="Q149" i="1" s="1"/>
  <c r="P149" i="1"/>
  <c r="N150" i="1"/>
  <c r="O150" i="1" s="1"/>
  <c r="Q150" i="1" s="1"/>
  <c r="P150" i="1"/>
  <c r="N151" i="1"/>
  <c r="O151" i="1" s="1"/>
  <c r="Q151" i="1" s="1"/>
  <c r="P151" i="1"/>
  <c r="N152" i="1"/>
  <c r="O152" i="1" s="1"/>
  <c r="Q152" i="1" s="1"/>
  <c r="P152" i="1"/>
  <c r="N153" i="1"/>
  <c r="O153" i="1" s="1"/>
  <c r="Q153" i="1" s="1"/>
  <c r="P153" i="1"/>
  <c r="N154" i="1"/>
  <c r="O154" i="1" s="1"/>
  <c r="Q154" i="1" s="1"/>
  <c r="P154" i="1"/>
  <c r="N155" i="1"/>
  <c r="O155" i="1" s="1"/>
  <c r="Q155" i="1" s="1"/>
  <c r="P155" i="1"/>
  <c r="N156" i="1"/>
  <c r="O156" i="1" s="1"/>
  <c r="Q156" i="1" s="1"/>
  <c r="P156" i="1"/>
  <c r="N157" i="1"/>
  <c r="O157" i="1" s="1"/>
  <c r="Q157" i="1" s="1"/>
  <c r="P157" i="1"/>
  <c r="N158" i="1"/>
  <c r="O158" i="1" s="1"/>
  <c r="Q158" i="1" s="1"/>
  <c r="P158" i="1"/>
  <c r="N159" i="1"/>
  <c r="O159" i="1" s="1"/>
  <c r="Q159" i="1" s="1"/>
  <c r="P159" i="1"/>
  <c r="N160" i="1"/>
  <c r="O160" i="1" s="1"/>
  <c r="Q160" i="1" s="1"/>
  <c r="P160" i="1"/>
  <c r="N161" i="1"/>
  <c r="O161" i="1" s="1"/>
  <c r="Q161" i="1" s="1"/>
  <c r="P161" i="1"/>
  <c r="R161" i="1" s="1"/>
  <c r="N162" i="1"/>
  <c r="O162" i="1" s="1"/>
  <c r="Q162" i="1" s="1"/>
  <c r="P162" i="1"/>
  <c r="N163" i="1"/>
  <c r="O163" i="1" s="1"/>
  <c r="Q163" i="1" s="1"/>
  <c r="P163" i="1"/>
  <c r="R163" i="1" s="1"/>
  <c r="N164" i="1"/>
  <c r="O164" i="1" s="1"/>
  <c r="Q164" i="1" s="1"/>
  <c r="P164" i="1"/>
  <c r="R164" i="1" s="1"/>
  <c r="N165" i="1"/>
  <c r="O165" i="1" s="1"/>
  <c r="Q165" i="1" s="1"/>
  <c r="P165" i="1"/>
  <c r="N166" i="1"/>
  <c r="O166" i="1" s="1"/>
  <c r="Q166" i="1" s="1"/>
  <c r="P166" i="1"/>
  <c r="R166" i="1" s="1"/>
  <c r="N167" i="1"/>
  <c r="O167" i="1" s="1"/>
  <c r="Q167" i="1" s="1"/>
  <c r="P167" i="1"/>
  <c r="R167" i="1" s="1"/>
  <c r="N168" i="1"/>
  <c r="O168" i="1" s="1"/>
  <c r="Q168" i="1" s="1"/>
  <c r="P168" i="1"/>
  <c r="N169" i="1"/>
  <c r="O169" i="1" s="1"/>
  <c r="Q169" i="1" s="1"/>
  <c r="P169" i="1"/>
  <c r="R169" i="1" s="1"/>
  <c r="N170" i="1"/>
  <c r="O170" i="1" s="1"/>
  <c r="Q170" i="1" s="1"/>
  <c r="P170" i="1"/>
  <c r="N171" i="1"/>
  <c r="O171" i="1" s="1"/>
  <c r="Q171" i="1" s="1"/>
  <c r="P171" i="1"/>
  <c r="R171" i="1" s="1"/>
  <c r="N172" i="1"/>
  <c r="O172" i="1" s="1"/>
  <c r="Q172" i="1" s="1"/>
  <c r="P172" i="1"/>
  <c r="N173" i="1"/>
  <c r="O173" i="1" s="1"/>
  <c r="Q173" i="1" s="1"/>
  <c r="P173" i="1"/>
  <c r="R173" i="1" s="1"/>
  <c r="N174" i="1"/>
  <c r="O174" i="1" s="1"/>
  <c r="Q174" i="1" s="1"/>
  <c r="P174" i="1"/>
  <c r="N175" i="1"/>
  <c r="O175" i="1" s="1"/>
  <c r="Q175" i="1" s="1"/>
  <c r="P175" i="1"/>
  <c r="R175" i="1" s="1"/>
  <c r="N176" i="1"/>
  <c r="O176" i="1" s="1"/>
  <c r="Q176" i="1" s="1"/>
  <c r="P176" i="1"/>
  <c r="N177" i="1"/>
  <c r="O177" i="1" s="1"/>
  <c r="Q177" i="1" s="1"/>
  <c r="P177" i="1"/>
  <c r="R177" i="1" s="1"/>
  <c r="N178" i="1"/>
  <c r="O178" i="1" s="1"/>
  <c r="Q178" i="1" s="1"/>
  <c r="P178" i="1"/>
  <c r="N179" i="1"/>
  <c r="O179" i="1" s="1"/>
  <c r="Q179" i="1" s="1"/>
  <c r="P179" i="1"/>
  <c r="R179" i="1" s="1"/>
  <c r="N180" i="1"/>
  <c r="O180" i="1" s="1"/>
  <c r="Q180" i="1" s="1"/>
  <c r="P180" i="1"/>
  <c r="N181" i="1"/>
  <c r="O181" i="1" s="1"/>
  <c r="Q181" i="1" s="1"/>
  <c r="P181" i="1"/>
  <c r="R181" i="1" s="1"/>
  <c r="N182" i="1"/>
  <c r="O182" i="1" s="1"/>
  <c r="Q182" i="1" s="1"/>
  <c r="P182" i="1"/>
  <c r="N183" i="1"/>
  <c r="O183" i="1" s="1"/>
  <c r="Q183" i="1" s="1"/>
  <c r="P183" i="1"/>
  <c r="R183" i="1" s="1"/>
  <c r="N184" i="1"/>
  <c r="O184" i="1" s="1"/>
  <c r="Q184" i="1" s="1"/>
  <c r="P184" i="1"/>
  <c r="N185" i="1"/>
  <c r="O185" i="1" s="1"/>
  <c r="Q185" i="1" s="1"/>
  <c r="P185" i="1"/>
  <c r="R185" i="1" s="1"/>
  <c r="N186" i="1"/>
  <c r="O186" i="1" s="1"/>
  <c r="Q186" i="1" s="1"/>
  <c r="P186" i="1"/>
  <c r="N187" i="1"/>
  <c r="O187" i="1" s="1"/>
  <c r="Q187" i="1" s="1"/>
  <c r="P187" i="1"/>
  <c r="R187" i="1" s="1"/>
  <c r="N188" i="1"/>
  <c r="O188" i="1" s="1"/>
  <c r="Q188" i="1" s="1"/>
  <c r="P188" i="1"/>
  <c r="N189" i="1"/>
  <c r="O189" i="1" s="1"/>
  <c r="Q189" i="1" s="1"/>
  <c r="P189" i="1"/>
  <c r="R189" i="1" s="1"/>
  <c r="N190" i="1"/>
  <c r="O190" i="1" s="1"/>
  <c r="Q190" i="1" s="1"/>
  <c r="P190" i="1"/>
  <c r="N191" i="1"/>
  <c r="O191" i="1" s="1"/>
  <c r="Q191" i="1" s="1"/>
  <c r="P191" i="1"/>
  <c r="R191" i="1" s="1"/>
  <c r="N192" i="1"/>
  <c r="O192" i="1" s="1"/>
  <c r="Q192" i="1" s="1"/>
  <c r="P192" i="1"/>
  <c r="N193" i="1"/>
  <c r="O193" i="1" s="1"/>
  <c r="Q193" i="1" s="1"/>
  <c r="P193" i="1"/>
  <c r="R193" i="1" s="1"/>
  <c r="N194" i="1"/>
  <c r="O194" i="1" s="1"/>
  <c r="Q194" i="1" s="1"/>
  <c r="P194" i="1"/>
  <c r="N195" i="1"/>
  <c r="O195" i="1" s="1"/>
  <c r="Q195" i="1" s="1"/>
  <c r="P195" i="1"/>
  <c r="R195" i="1" s="1"/>
  <c r="N196" i="1"/>
  <c r="O196" i="1" s="1"/>
  <c r="Q196" i="1" s="1"/>
  <c r="P196" i="1"/>
  <c r="N197" i="1"/>
  <c r="O197" i="1" s="1"/>
  <c r="Q197" i="1" s="1"/>
  <c r="P197" i="1"/>
  <c r="R197" i="1" s="1"/>
  <c r="N198" i="1"/>
  <c r="O198" i="1" s="1"/>
  <c r="Q198" i="1" s="1"/>
  <c r="P198" i="1"/>
  <c r="N199" i="1"/>
  <c r="O199" i="1" s="1"/>
  <c r="Q199" i="1" s="1"/>
  <c r="P199" i="1"/>
  <c r="R199" i="1" s="1"/>
  <c r="N200" i="1"/>
  <c r="O200" i="1" s="1"/>
  <c r="Q200" i="1" s="1"/>
  <c r="P200" i="1"/>
  <c r="N201" i="1"/>
  <c r="O201" i="1" s="1"/>
  <c r="Q201" i="1" s="1"/>
  <c r="P201" i="1"/>
  <c r="R201" i="1" s="1"/>
  <c r="N202" i="1"/>
  <c r="O202" i="1" s="1"/>
  <c r="Q202" i="1" s="1"/>
  <c r="P202" i="1"/>
  <c r="N203" i="1"/>
  <c r="O203" i="1" s="1"/>
  <c r="Q203" i="1" s="1"/>
  <c r="P203" i="1"/>
  <c r="R203" i="1" s="1"/>
  <c r="N204" i="1"/>
  <c r="O204" i="1" s="1"/>
  <c r="Q204" i="1" s="1"/>
  <c r="P204" i="1"/>
  <c r="N205" i="1"/>
  <c r="O205" i="1" s="1"/>
  <c r="Q205" i="1" s="1"/>
  <c r="P205" i="1"/>
  <c r="R205" i="1" s="1"/>
  <c r="N206" i="1"/>
  <c r="O206" i="1" s="1"/>
  <c r="Q206" i="1" s="1"/>
  <c r="P206" i="1"/>
  <c r="N207" i="1"/>
  <c r="O207" i="1" s="1"/>
  <c r="Q207" i="1" s="1"/>
  <c r="P207" i="1"/>
  <c r="R207" i="1" s="1"/>
  <c r="N208" i="1"/>
  <c r="O208" i="1" s="1"/>
  <c r="Q208" i="1" s="1"/>
  <c r="P208" i="1"/>
  <c r="N209" i="1"/>
  <c r="O209" i="1" s="1"/>
  <c r="Q209" i="1" s="1"/>
  <c r="P209" i="1"/>
  <c r="N210" i="1"/>
  <c r="O210" i="1" s="1"/>
  <c r="Q210" i="1" s="1"/>
  <c r="P210" i="1"/>
  <c r="N211" i="1"/>
  <c r="O211" i="1" s="1"/>
  <c r="Q211" i="1" s="1"/>
  <c r="P211" i="1"/>
  <c r="N212" i="1"/>
  <c r="O212" i="1" s="1"/>
  <c r="Q212" i="1" s="1"/>
  <c r="P212" i="1"/>
  <c r="N213" i="1"/>
  <c r="O213" i="1" s="1"/>
  <c r="Q213" i="1" s="1"/>
  <c r="P213" i="1"/>
  <c r="N214" i="1"/>
  <c r="O214" i="1" s="1"/>
  <c r="Q214" i="1" s="1"/>
  <c r="P214" i="1"/>
  <c r="N215" i="1"/>
  <c r="O215" i="1" s="1"/>
  <c r="Q215" i="1" s="1"/>
  <c r="P215" i="1"/>
  <c r="N216" i="1"/>
  <c r="O216" i="1" s="1"/>
  <c r="Q216" i="1" s="1"/>
  <c r="P216" i="1"/>
  <c r="N217" i="1"/>
  <c r="O217" i="1" s="1"/>
  <c r="Q217" i="1" s="1"/>
  <c r="P217" i="1"/>
  <c r="N218" i="1"/>
  <c r="O218" i="1" s="1"/>
  <c r="Q218" i="1" s="1"/>
  <c r="P218" i="1"/>
  <c r="N219" i="1"/>
  <c r="O219" i="1" s="1"/>
  <c r="Q219" i="1" s="1"/>
  <c r="P219" i="1"/>
  <c r="R219" i="1" s="1"/>
  <c r="N220" i="1"/>
  <c r="O220" i="1" s="1"/>
  <c r="Q220" i="1" s="1"/>
  <c r="P220" i="1"/>
  <c r="N221" i="1"/>
  <c r="O221" i="1" s="1"/>
  <c r="Q221" i="1" s="1"/>
  <c r="P221" i="1"/>
  <c r="R221" i="1" s="1"/>
  <c r="N222" i="1"/>
  <c r="O222" i="1" s="1"/>
  <c r="Q222" i="1" s="1"/>
  <c r="P222" i="1"/>
  <c r="R222" i="1" s="1"/>
  <c r="N223" i="1"/>
  <c r="O223" i="1" s="1"/>
  <c r="Q223" i="1" s="1"/>
  <c r="P223" i="1"/>
  <c r="N224" i="1"/>
  <c r="O224" i="1" s="1"/>
  <c r="Q224" i="1" s="1"/>
  <c r="P224" i="1"/>
  <c r="R224" i="1" s="1"/>
  <c r="N225" i="1"/>
  <c r="O225" i="1" s="1"/>
  <c r="Q225" i="1" s="1"/>
  <c r="P225" i="1"/>
  <c r="R225" i="1" s="1"/>
  <c r="N226" i="1"/>
  <c r="O226" i="1" s="1"/>
  <c r="Q226" i="1" s="1"/>
  <c r="P226" i="1"/>
  <c r="N227" i="1"/>
  <c r="O227" i="1" s="1"/>
  <c r="Q227" i="1" s="1"/>
  <c r="P227" i="1"/>
  <c r="R227" i="1" s="1"/>
  <c r="N228" i="1"/>
  <c r="O228" i="1" s="1"/>
  <c r="Q228" i="1" s="1"/>
  <c r="P228" i="1"/>
  <c r="R228" i="1" s="1"/>
  <c r="N229" i="1"/>
  <c r="O229" i="1" s="1"/>
  <c r="Q229" i="1" s="1"/>
  <c r="P229" i="1"/>
  <c r="N230" i="1"/>
  <c r="O230" i="1" s="1"/>
  <c r="Q230" i="1" s="1"/>
  <c r="P230" i="1"/>
  <c r="R230" i="1" s="1"/>
  <c r="N231" i="1"/>
  <c r="O231" i="1" s="1"/>
  <c r="Q231" i="1" s="1"/>
  <c r="P231" i="1"/>
  <c r="N232" i="1"/>
  <c r="O232" i="1" s="1"/>
  <c r="Q232" i="1" s="1"/>
  <c r="P232" i="1"/>
  <c r="N233" i="1"/>
  <c r="O233" i="1" s="1"/>
  <c r="Q233" i="1" s="1"/>
  <c r="P233" i="1"/>
  <c r="N234" i="1"/>
  <c r="O234" i="1" s="1"/>
  <c r="Q234" i="1" s="1"/>
  <c r="P234" i="1"/>
  <c r="N235" i="1"/>
  <c r="O235" i="1" s="1"/>
  <c r="Q235" i="1" s="1"/>
  <c r="P235" i="1"/>
  <c r="R235" i="1" s="1"/>
  <c r="N236" i="1"/>
  <c r="O236" i="1" s="1"/>
  <c r="Q236" i="1" s="1"/>
  <c r="P236" i="1"/>
  <c r="N237" i="1"/>
  <c r="O237" i="1" s="1"/>
  <c r="Q237" i="1" s="1"/>
  <c r="P237" i="1"/>
  <c r="R237" i="1" s="1"/>
  <c r="N238" i="1"/>
  <c r="O238" i="1" s="1"/>
  <c r="Q238" i="1" s="1"/>
  <c r="P238" i="1"/>
  <c r="R238" i="1" s="1"/>
  <c r="N239" i="1"/>
  <c r="O239" i="1" s="1"/>
  <c r="Q239" i="1" s="1"/>
  <c r="P239" i="1"/>
  <c r="N240" i="1"/>
  <c r="O240" i="1" s="1"/>
  <c r="Q240" i="1" s="1"/>
  <c r="P240" i="1"/>
  <c r="R240" i="1" s="1"/>
  <c r="N241" i="1"/>
  <c r="O241" i="1" s="1"/>
  <c r="Q241" i="1" s="1"/>
  <c r="P241" i="1"/>
  <c r="R241" i="1" s="1"/>
  <c r="N242" i="1"/>
  <c r="O242" i="1" s="1"/>
  <c r="Q242" i="1" s="1"/>
  <c r="P242" i="1"/>
  <c r="N243" i="1"/>
  <c r="O243" i="1" s="1"/>
  <c r="Q243" i="1" s="1"/>
  <c r="P243" i="1"/>
  <c r="R243" i="1" s="1"/>
  <c r="N244" i="1"/>
  <c r="O244" i="1" s="1"/>
  <c r="Q244" i="1" s="1"/>
  <c r="P244" i="1"/>
  <c r="R244" i="1" s="1"/>
  <c r="N245" i="1"/>
  <c r="O245" i="1" s="1"/>
  <c r="Q245" i="1" s="1"/>
  <c r="P245" i="1"/>
  <c r="N246" i="1"/>
  <c r="O246" i="1" s="1"/>
  <c r="Q246" i="1" s="1"/>
  <c r="P246" i="1"/>
  <c r="R246" i="1" s="1"/>
  <c r="N247" i="1"/>
  <c r="O247" i="1" s="1"/>
  <c r="Q247" i="1" s="1"/>
  <c r="P247" i="1"/>
  <c r="R247" i="1" s="1"/>
  <c r="N248" i="1"/>
  <c r="O248" i="1" s="1"/>
  <c r="Q248" i="1" s="1"/>
  <c r="P248" i="1"/>
  <c r="N249" i="1"/>
  <c r="O249" i="1" s="1"/>
  <c r="Q249" i="1" s="1"/>
  <c r="P249" i="1"/>
  <c r="R249" i="1" s="1"/>
  <c r="N250" i="1"/>
  <c r="O250" i="1" s="1"/>
  <c r="Q250" i="1" s="1"/>
  <c r="P250" i="1"/>
  <c r="N251" i="1"/>
  <c r="O251" i="1" s="1"/>
  <c r="Q251" i="1" s="1"/>
  <c r="P251" i="1"/>
  <c r="R251" i="1" s="1"/>
  <c r="N252" i="1"/>
  <c r="O252" i="1" s="1"/>
  <c r="Q252" i="1" s="1"/>
  <c r="P252" i="1"/>
  <c r="N253" i="1"/>
  <c r="O253" i="1" s="1"/>
  <c r="Q253" i="1" s="1"/>
  <c r="P253" i="1"/>
  <c r="R253" i="1" s="1"/>
  <c r="N254" i="1"/>
  <c r="O254" i="1" s="1"/>
  <c r="Q254" i="1" s="1"/>
  <c r="P254" i="1"/>
  <c r="N255" i="1"/>
  <c r="O255" i="1" s="1"/>
  <c r="Q255" i="1" s="1"/>
  <c r="P255" i="1"/>
  <c r="R255" i="1" s="1"/>
  <c r="N256" i="1"/>
  <c r="O256" i="1" s="1"/>
  <c r="Q256" i="1" s="1"/>
  <c r="P256" i="1"/>
  <c r="N257" i="1"/>
  <c r="O257" i="1" s="1"/>
  <c r="Q257" i="1" s="1"/>
  <c r="P257" i="1"/>
  <c r="R257" i="1" s="1"/>
  <c r="N258" i="1"/>
  <c r="O258" i="1" s="1"/>
  <c r="Q258" i="1" s="1"/>
  <c r="P258" i="1"/>
  <c r="N259" i="1"/>
  <c r="O259" i="1" s="1"/>
  <c r="Q259" i="1" s="1"/>
  <c r="P259" i="1"/>
  <c r="R259" i="1" s="1"/>
  <c r="N260" i="1"/>
  <c r="O260" i="1" s="1"/>
  <c r="Q260" i="1" s="1"/>
  <c r="P260" i="1"/>
  <c r="N261" i="1"/>
  <c r="O261" i="1" s="1"/>
  <c r="Q261" i="1" s="1"/>
  <c r="P261" i="1"/>
  <c r="R261" i="1" s="1"/>
  <c r="N262" i="1"/>
  <c r="O262" i="1" s="1"/>
  <c r="Q262" i="1" s="1"/>
  <c r="P262" i="1"/>
  <c r="N263" i="1"/>
  <c r="O263" i="1" s="1"/>
  <c r="Q263" i="1" s="1"/>
  <c r="P263" i="1"/>
  <c r="R263" i="1" s="1"/>
  <c r="N264" i="1"/>
  <c r="O264" i="1" s="1"/>
  <c r="Q264" i="1" s="1"/>
  <c r="P264" i="1"/>
  <c r="N265" i="1"/>
  <c r="O265" i="1" s="1"/>
  <c r="Q265" i="1" s="1"/>
  <c r="P265" i="1"/>
  <c r="R265" i="1" s="1"/>
  <c r="N266" i="1"/>
  <c r="O266" i="1" s="1"/>
  <c r="Q266" i="1" s="1"/>
  <c r="P266" i="1"/>
  <c r="R266" i="1" s="1"/>
  <c r="N267" i="1"/>
  <c r="O267" i="1" s="1"/>
  <c r="Q267" i="1" s="1"/>
  <c r="P267" i="1"/>
  <c r="N268" i="1"/>
  <c r="O268" i="1" s="1"/>
  <c r="Q268" i="1" s="1"/>
  <c r="P268" i="1"/>
  <c r="R268" i="1" s="1"/>
  <c r="N269" i="1"/>
  <c r="O269" i="1" s="1"/>
  <c r="Q269" i="1" s="1"/>
  <c r="P269" i="1"/>
  <c r="R269" i="1" s="1"/>
  <c r="N270" i="1"/>
  <c r="O270" i="1" s="1"/>
  <c r="Q270" i="1" s="1"/>
  <c r="P270" i="1"/>
  <c r="N271" i="1"/>
  <c r="O271" i="1" s="1"/>
  <c r="Q271" i="1" s="1"/>
  <c r="P271" i="1"/>
  <c r="R271" i="1" s="1"/>
  <c r="N272" i="1"/>
  <c r="O272" i="1" s="1"/>
  <c r="Q272" i="1" s="1"/>
  <c r="P272" i="1"/>
  <c r="R272" i="1" s="1"/>
  <c r="N273" i="1"/>
  <c r="O273" i="1" s="1"/>
  <c r="Q273" i="1" s="1"/>
  <c r="P273" i="1"/>
  <c r="N274" i="1"/>
  <c r="O274" i="1" s="1"/>
  <c r="Q274" i="1" s="1"/>
  <c r="P274" i="1"/>
  <c r="R274" i="1" s="1"/>
  <c r="N275" i="1"/>
  <c r="O275" i="1" s="1"/>
  <c r="Q275" i="1" s="1"/>
  <c r="P275" i="1"/>
  <c r="N276" i="1"/>
  <c r="O276" i="1" s="1"/>
  <c r="Q276" i="1" s="1"/>
  <c r="P276" i="1"/>
  <c r="N277" i="1"/>
  <c r="O277" i="1" s="1"/>
  <c r="Q277" i="1" s="1"/>
  <c r="P277" i="1"/>
  <c r="N278" i="1"/>
  <c r="O278" i="1" s="1"/>
  <c r="Q278" i="1" s="1"/>
  <c r="P278" i="1"/>
  <c r="N279" i="1"/>
  <c r="O279" i="1" s="1"/>
  <c r="Q279" i="1" s="1"/>
  <c r="P279" i="1"/>
  <c r="R279" i="1" s="1"/>
  <c r="N280" i="1"/>
  <c r="O280" i="1" s="1"/>
  <c r="Q280" i="1" s="1"/>
  <c r="P280" i="1"/>
  <c r="N281" i="1"/>
  <c r="O281" i="1" s="1"/>
  <c r="Q281" i="1" s="1"/>
  <c r="P281" i="1"/>
  <c r="R281" i="1" s="1"/>
  <c r="N282" i="1"/>
  <c r="O282" i="1" s="1"/>
  <c r="Q282" i="1" s="1"/>
  <c r="P282" i="1"/>
  <c r="R282" i="1" s="1"/>
  <c r="N283" i="1"/>
  <c r="O283" i="1" s="1"/>
  <c r="Q283" i="1" s="1"/>
  <c r="P283" i="1"/>
  <c r="N284" i="1"/>
  <c r="O284" i="1" s="1"/>
  <c r="Q284" i="1" s="1"/>
  <c r="P284" i="1"/>
  <c r="R284" i="1" s="1"/>
  <c r="N285" i="1"/>
  <c r="O285" i="1" s="1"/>
  <c r="Q285" i="1" s="1"/>
  <c r="P285" i="1"/>
  <c r="R285" i="1" s="1"/>
  <c r="N286" i="1"/>
  <c r="O286" i="1" s="1"/>
  <c r="Q286" i="1" s="1"/>
  <c r="P286" i="1"/>
  <c r="N287" i="1"/>
  <c r="O287" i="1" s="1"/>
  <c r="Q287" i="1" s="1"/>
  <c r="P287" i="1"/>
  <c r="R287" i="1" s="1"/>
  <c r="N288" i="1"/>
  <c r="O288" i="1" s="1"/>
  <c r="Q288" i="1" s="1"/>
  <c r="P288" i="1"/>
  <c r="R288" i="1" s="1"/>
  <c r="N289" i="1"/>
  <c r="O289" i="1" s="1"/>
  <c r="Q289" i="1" s="1"/>
  <c r="P289" i="1"/>
  <c r="N290" i="1"/>
  <c r="O290" i="1" s="1"/>
  <c r="Q290" i="1" s="1"/>
  <c r="P290" i="1"/>
  <c r="R290" i="1" s="1"/>
  <c r="N291" i="1"/>
  <c r="O291" i="1" s="1"/>
  <c r="Q291" i="1" s="1"/>
  <c r="P291" i="1"/>
  <c r="R291" i="1" s="1"/>
  <c r="N292" i="1"/>
  <c r="O292" i="1" s="1"/>
  <c r="Q292" i="1" s="1"/>
  <c r="P292" i="1"/>
  <c r="N293" i="1"/>
  <c r="O293" i="1" s="1"/>
  <c r="Q293" i="1" s="1"/>
  <c r="P293" i="1"/>
  <c r="R293" i="1" s="1"/>
  <c r="N294" i="1"/>
  <c r="O294" i="1" s="1"/>
  <c r="Q294" i="1" s="1"/>
  <c r="P294" i="1"/>
  <c r="R294" i="1" s="1"/>
  <c r="N295" i="1"/>
  <c r="O295" i="1" s="1"/>
  <c r="Q295" i="1" s="1"/>
  <c r="P295" i="1"/>
  <c r="N296" i="1"/>
  <c r="O296" i="1" s="1"/>
  <c r="Q296" i="1" s="1"/>
  <c r="P296" i="1"/>
  <c r="R296" i="1" s="1"/>
  <c r="N297" i="1"/>
  <c r="O297" i="1" s="1"/>
  <c r="Q297" i="1" s="1"/>
  <c r="P297" i="1"/>
  <c r="R297" i="1" s="1"/>
  <c r="N298" i="1"/>
  <c r="O298" i="1" s="1"/>
  <c r="Q298" i="1" s="1"/>
  <c r="P298" i="1"/>
  <c r="N299" i="1"/>
  <c r="O299" i="1" s="1"/>
  <c r="Q299" i="1" s="1"/>
  <c r="P299" i="1"/>
  <c r="R299" i="1" s="1"/>
  <c r="N300" i="1"/>
  <c r="O300" i="1" s="1"/>
  <c r="Q300" i="1" s="1"/>
  <c r="P300" i="1"/>
  <c r="R300" i="1" s="1"/>
  <c r="N301" i="1"/>
  <c r="O301" i="1" s="1"/>
  <c r="Q301" i="1" s="1"/>
  <c r="P301" i="1"/>
  <c r="N302" i="1"/>
  <c r="O302" i="1" s="1"/>
  <c r="Q302" i="1" s="1"/>
  <c r="P302" i="1"/>
  <c r="R302" i="1" s="1"/>
  <c r="N303" i="1"/>
  <c r="O303" i="1" s="1"/>
  <c r="Q303" i="1" s="1"/>
  <c r="P303" i="1"/>
  <c r="R303" i="1" s="1"/>
  <c r="N304" i="1"/>
  <c r="O304" i="1" s="1"/>
  <c r="Q304" i="1" s="1"/>
  <c r="P304" i="1"/>
  <c r="N305" i="1"/>
  <c r="O305" i="1" s="1"/>
  <c r="Q305" i="1" s="1"/>
  <c r="P305" i="1"/>
  <c r="R305" i="1" s="1"/>
  <c r="N306" i="1"/>
  <c r="O306" i="1" s="1"/>
  <c r="Q306" i="1" s="1"/>
  <c r="P306" i="1"/>
  <c r="R306" i="1" s="1"/>
  <c r="N307" i="1"/>
  <c r="O307" i="1" s="1"/>
  <c r="Q307" i="1" s="1"/>
  <c r="P307" i="1"/>
  <c r="N308" i="1"/>
  <c r="O308" i="1" s="1"/>
  <c r="Q308" i="1" s="1"/>
  <c r="P308" i="1"/>
  <c r="R308" i="1" s="1"/>
  <c r="N309" i="1"/>
  <c r="O309" i="1" s="1"/>
  <c r="Q309" i="1" s="1"/>
  <c r="P309" i="1"/>
  <c r="R309" i="1" s="1"/>
  <c r="N310" i="1"/>
  <c r="O310" i="1" s="1"/>
  <c r="Q310" i="1" s="1"/>
  <c r="P310" i="1"/>
  <c r="N311" i="1"/>
  <c r="O311" i="1" s="1"/>
  <c r="Q311" i="1" s="1"/>
  <c r="P311" i="1"/>
  <c r="R311" i="1" s="1"/>
  <c r="N312" i="1"/>
  <c r="O312" i="1" s="1"/>
  <c r="Q312" i="1" s="1"/>
  <c r="P312" i="1"/>
  <c r="R312" i="1" s="1"/>
  <c r="N313" i="1"/>
  <c r="O313" i="1" s="1"/>
  <c r="Q313" i="1" s="1"/>
  <c r="P313" i="1"/>
  <c r="N314" i="1"/>
  <c r="O314" i="1" s="1"/>
  <c r="Q314" i="1" s="1"/>
  <c r="P314" i="1"/>
  <c r="R314" i="1" s="1"/>
  <c r="N315" i="1"/>
  <c r="O315" i="1" s="1"/>
  <c r="Q315" i="1" s="1"/>
  <c r="P315" i="1"/>
  <c r="R315" i="1" s="1"/>
  <c r="N316" i="1"/>
  <c r="O316" i="1" s="1"/>
  <c r="Q316" i="1" s="1"/>
  <c r="P316" i="1"/>
  <c r="N317" i="1"/>
  <c r="O317" i="1" s="1"/>
  <c r="Q317" i="1" s="1"/>
  <c r="P317" i="1"/>
  <c r="R317" i="1" s="1"/>
  <c r="N318" i="1"/>
  <c r="O318" i="1" s="1"/>
  <c r="Q318" i="1" s="1"/>
  <c r="P318" i="1"/>
  <c r="R318" i="1" s="1"/>
  <c r="N319" i="1"/>
  <c r="O319" i="1" s="1"/>
  <c r="Q319" i="1" s="1"/>
  <c r="P319" i="1"/>
  <c r="N320" i="1"/>
  <c r="O320" i="1" s="1"/>
  <c r="Q320" i="1" s="1"/>
  <c r="P320" i="1"/>
  <c r="R320" i="1" s="1"/>
  <c r="N321" i="1"/>
  <c r="O321" i="1" s="1"/>
  <c r="Q321" i="1" s="1"/>
  <c r="P321" i="1"/>
  <c r="R321" i="1" s="1"/>
  <c r="N322" i="1"/>
  <c r="O322" i="1" s="1"/>
  <c r="Q322" i="1" s="1"/>
  <c r="P322" i="1"/>
  <c r="N323" i="1"/>
  <c r="O323" i="1" s="1"/>
  <c r="Q323" i="1" s="1"/>
  <c r="P323" i="1"/>
  <c r="R323" i="1" s="1"/>
  <c r="N324" i="1"/>
  <c r="O324" i="1" s="1"/>
  <c r="Q324" i="1" s="1"/>
  <c r="P324" i="1"/>
  <c r="R324" i="1" s="1"/>
  <c r="N325" i="1"/>
  <c r="O325" i="1" s="1"/>
  <c r="Q325" i="1" s="1"/>
  <c r="P325" i="1"/>
  <c r="N326" i="1"/>
  <c r="O326" i="1" s="1"/>
  <c r="Q326" i="1" s="1"/>
  <c r="P326" i="1"/>
  <c r="R326" i="1" s="1"/>
  <c r="N327" i="1"/>
  <c r="O327" i="1"/>
  <c r="Q327" i="1" s="1"/>
  <c r="P327" i="1"/>
  <c r="R327" i="1" s="1"/>
  <c r="N328" i="1"/>
  <c r="O328" i="1" s="1"/>
  <c r="Q328" i="1" s="1"/>
  <c r="P328" i="1"/>
  <c r="N329" i="1"/>
  <c r="O329" i="1" s="1"/>
  <c r="Q329" i="1" s="1"/>
  <c r="P329" i="1"/>
  <c r="R329" i="1" s="1"/>
  <c r="N330" i="1"/>
  <c r="O330" i="1" s="1"/>
  <c r="Q330" i="1" s="1"/>
  <c r="P330" i="1"/>
  <c r="R330" i="1" s="1"/>
  <c r="N331" i="1"/>
  <c r="O331" i="1" s="1"/>
  <c r="Q331" i="1" s="1"/>
  <c r="P331" i="1"/>
  <c r="N332" i="1"/>
  <c r="O332" i="1" s="1"/>
  <c r="Q332" i="1" s="1"/>
  <c r="P332" i="1"/>
  <c r="R332" i="1" s="1"/>
  <c r="N333" i="1"/>
  <c r="O333" i="1" s="1"/>
  <c r="Q333" i="1" s="1"/>
  <c r="P333" i="1"/>
  <c r="R333" i="1" s="1"/>
  <c r="N334" i="1"/>
  <c r="O334" i="1" s="1"/>
  <c r="Q334" i="1" s="1"/>
  <c r="P334" i="1"/>
  <c r="N335" i="1"/>
  <c r="O335" i="1" s="1"/>
  <c r="Q335" i="1" s="1"/>
  <c r="P335" i="1"/>
  <c r="R335" i="1" s="1"/>
  <c r="N336" i="1"/>
  <c r="O336" i="1" s="1"/>
  <c r="Q336" i="1" s="1"/>
  <c r="P336" i="1"/>
  <c r="R336" i="1" s="1"/>
  <c r="N337" i="1"/>
  <c r="O337" i="1" s="1"/>
  <c r="Q337" i="1" s="1"/>
  <c r="P337" i="1"/>
  <c r="N338" i="1"/>
  <c r="O338" i="1" s="1"/>
  <c r="Q338" i="1" s="1"/>
  <c r="P338" i="1"/>
  <c r="R338" i="1" s="1"/>
  <c r="N339" i="1"/>
  <c r="O339" i="1" s="1"/>
  <c r="Q339" i="1" s="1"/>
  <c r="P339" i="1"/>
  <c r="R339" i="1" s="1"/>
  <c r="N340" i="1"/>
  <c r="O340" i="1" s="1"/>
  <c r="Q340" i="1" s="1"/>
  <c r="P340" i="1"/>
  <c r="N341" i="1"/>
  <c r="O341" i="1" s="1"/>
  <c r="Q341" i="1" s="1"/>
  <c r="P341" i="1"/>
  <c r="R341" i="1" s="1"/>
  <c r="N342" i="1"/>
  <c r="O342" i="1" s="1"/>
  <c r="Q342" i="1" s="1"/>
  <c r="P342" i="1"/>
  <c r="R342" i="1" s="1"/>
  <c r="N343" i="1"/>
  <c r="O343" i="1" s="1"/>
  <c r="Q343" i="1" s="1"/>
  <c r="P343" i="1"/>
  <c r="N344" i="1"/>
  <c r="O344" i="1" s="1"/>
  <c r="Q344" i="1" s="1"/>
  <c r="P344" i="1"/>
  <c r="R344" i="1" s="1"/>
  <c r="N345" i="1"/>
  <c r="O345" i="1" s="1"/>
  <c r="Q345" i="1" s="1"/>
  <c r="P345" i="1"/>
  <c r="R345" i="1" s="1"/>
  <c r="N346" i="1"/>
  <c r="O346" i="1" s="1"/>
  <c r="Q346" i="1" s="1"/>
  <c r="P346" i="1"/>
  <c r="N347" i="1"/>
  <c r="O347" i="1" s="1"/>
  <c r="Q347" i="1" s="1"/>
  <c r="P347" i="1"/>
  <c r="R347" i="1" s="1"/>
  <c r="N348" i="1"/>
  <c r="O348" i="1" s="1"/>
  <c r="Q348" i="1" s="1"/>
  <c r="P348" i="1"/>
  <c r="R348" i="1" s="1"/>
  <c r="N349" i="1"/>
  <c r="O349" i="1" s="1"/>
  <c r="Q349" i="1" s="1"/>
  <c r="P349" i="1"/>
  <c r="N350" i="1"/>
  <c r="O350" i="1" s="1"/>
  <c r="Q350" i="1" s="1"/>
  <c r="P350" i="1"/>
  <c r="R350" i="1" s="1"/>
  <c r="N351" i="1"/>
  <c r="O351" i="1" s="1"/>
  <c r="Q351" i="1" s="1"/>
  <c r="P351" i="1"/>
  <c r="N352" i="1"/>
  <c r="O352" i="1" s="1"/>
  <c r="Q352" i="1" s="1"/>
  <c r="P352" i="1"/>
  <c r="N353" i="1"/>
  <c r="O353" i="1" s="1"/>
  <c r="Q353" i="1" s="1"/>
  <c r="P353" i="1"/>
  <c r="N354" i="1"/>
  <c r="O354" i="1" s="1"/>
  <c r="Q354" i="1" s="1"/>
  <c r="P354" i="1"/>
  <c r="N355" i="1"/>
  <c r="O355" i="1" s="1"/>
  <c r="Q355" i="1" s="1"/>
  <c r="P355" i="1"/>
  <c r="N356" i="1"/>
  <c r="O356" i="1" s="1"/>
  <c r="Q356" i="1" s="1"/>
  <c r="P356" i="1"/>
  <c r="N357" i="1"/>
  <c r="O357" i="1" s="1"/>
  <c r="Q357" i="1" s="1"/>
  <c r="P357" i="1"/>
  <c r="N358" i="1"/>
  <c r="O358" i="1" s="1"/>
  <c r="Q358" i="1" s="1"/>
  <c r="P358" i="1"/>
  <c r="N359" i="1"/>
  <c r="O359" i="1" s="1"/>
  <c r="Q359" i="1" s="1"/>
  <c r="P359" i="1"/>
  <c r="N360" i="1"/>
  <c r="O360" i="1" s="1"/>
  <c r="Q360" i="1" s="1"/>
  <c r="P360" i="1"/>
  <c r="N361" i="1"/>
  <c r="O361" i="1" s="1"/>
  <c r="Q361" i="1" s="1"/>
  <c r="P361" i="1"/>
  <c r="N362" i="1"/>
  <c r="O362" i="1" s="1"/>
  <c r="Q362" i="1" s="1"/>
  <c r="P362" i="1"/>
  <c r="N363" i="1"/>
  <c r="O363" i="1" s="1"/>
  <c r="Q363" i="1" s="1"/>
  <c r="P363" i="1"/>
  <c r="N364" i="1"/>
  <c r="O364" i="1" s="1"/>
  <c r="Q364" i="1" s="1"/>
  <c r="P364" i="1"/>
  <c r="N365" i="1"/>
  <c r="O365" i="1" s="1"/>
  <c r="Q365" i="1" s="1"/>
  <c r="P365" i="1"/>
  <c r="N366" i="1"/>
  <c r="O366" i="1" s="1"/>
  <c r="Q366" i="1" s="1"/>
  <c r="P366" i="1"/>
  <c r="N367" i="1"/>
  <c r="O367" i="1" s="1"/>
  <c r="Q367" i="1" s="1"/>
  <c r="P367" i="1"/>
  <c r="N368" i="1"/>
  <c r="O368" i="1" s="1"/>
  <c r="Q368" i="1" s="1"/>
  <c r="P368" i="1"/>
  <c r="N369" i="1"/>
  <c r="O369" i="1" s="1"/>
  <c r="Q369" i="1" s="1"/>
  <c r="P369" i="1"/>
  <c r="N370" i="1"/>
  <c r="O370" i="1" s="1"/>
  <c r="Q370" i="1" s="1"/>
  <c r="P370" i="1"/>
  <c r="N371" i="1"/>
  <c r="O371" i="1" s="1"/>
  <c r="Q371" i="1" s="1"/>
  <c r="P371" i="1"/>
  <c r="N372" i="1"/>
  <c r="O372" i="1" s="1"/>
  <c r="Q372" i="1" s="1"/>
  <c r="P372" i="1"/>
  <c r="N373" i="1"/>
  <c r="O373" i="1" s="1"/>
  <c r="Q373" i="1" s="1"/>
  <c r="P373" i="1"/>
  <c r="N374" i="1"/>
  <c r="O374" i="1" s="1"/>
  <c r="Q374" i="1" s="1"/>
  <c r="P374" i="1"/>
  <c r="N375" i="1"/>
  <c r="O375" i="1" s="1"/>
  <c r="Q375" i="1" s="1"/>
  <c r="P375" i="1"/>
  <c r="N376" i="1"/>
  <c r="O376" i="1" s="1"/>
  <c r="Q376" i="1" s="1"/>
  <c r="P376" i="1"/>
  <c r="N377" i="1"/>
  <c r="O377" i="1" s="1"/>
  <c r="Q377" i="1" s="1"/>
  <c r="P377" i="1"/>
  <c r="N378" i="1"/>
  <c r="O378" i="1" s="1"/>
  <c r="Q378" i="1" s="1"/>
  <c r="P378" i="1"/>
  <c r="N379" i="1"/>
  <c r="O379" i="1" s="1"/>
  <c r="Q379" i="1" s="1"/>
  <c r="P379" i="1"/>
  <c r="N380" i="1"/>
  <c r="O380" i="1" s="1"/>
  <c r="Q380" i="1" s="1"/>
  <c r="P380" i="1"/>
  <c r="N381" i="1"/>
  <c r="O381" i="1" s="1"/>
  <c r="Q381" i="1" s="1"/>
  <c r="P381" i="1"/>
  <c r="N382" i="1"/>
  <c r="O382" i="1" s="1"/>
  <c r="Q382" i="1" s="1"/>
  <c r="P382" i="1"/>
  <c r="N383" i="1"/>
  <c r="O383" i="1" s="1"/>
  <c r="Q383" i="1" s="1"/>
  <c r="P383" i="1"/>
  <c r="N384" i="1"/>
  <c r="O384" i="1" s="1"/>
  <c r="Q384" i="1" s="1"/>
  <c r="P384" i="1"/>
  <c r="N385" i="1"/>
  <c r="O385" i="1" s="1"/>
  <c r="Q385" i="1" s="1"/>
  <c r="P385" i="1"/>
  <c r="N386" i="1"/>
  <c r="O386" i="1" s="1"/>
  <c r="Q386" i="1" s="1"/>
  <c r="P386" i="1"/>
  <c r="N387" i="1"/>
  <c r="O387" i="1" s="1"/>
  <c r="Q387" i="1" s="1"/>
  <c r="P387" i="1"/>
  <c r="N388" i="1"/>
  <c r="O388" i="1" s="1"/>
  <c r="Q388" i="1" s="1"/>
  <c r="P388" i="1"/>
  <c r="N389" i="1"/>
  <c r="O389" i="1" s="1"/>
  <c r="Q389" i="1" s="1"/>
  <c r="P389" i="1"/>
  <c r="N390" i="1"/>
  <c r="O390" i="1" s="1"/>
  <c r="Q390" i="1" s="1"/>
  <c r="P390" i="1"/>
  <c r="N391" i="1"/>
  <c r="O391" i="1" s="1"/>
  <c r="Q391" i="1" s="1"/>
  <c r="P391" i="1"/>
  <c r="N392" i="1"/>
  <c r="O392" i="1" s="1"/>
  <c r="Q392" i="1" s="1"/>
  <c r="P392" i="1"/>
  <c r="N393" i="1"/>
  <c r="O393" i="1" s="1"/>
  <c r="Q393" i="1" s="1"/>
  <c r="P393" i="1"/>
  <c r="N394" i="1"/>
  <c r="O394" i="1" s="1"/>
  <c r="Q394" i="1" s="1"/>
  <c r="P394" i="1"/>
  <c r="N395" i="1"/>
  <c r="O395" i="1" s="1"/>
  <c r="Q395" i="1" s="1"/>
  <c r="P395" i="1"/>
  <c r="N396" i="1"/>
  <c r="O396" i="1" s="1"/>
  <c r="Q396" i="1" s="1"/>
  <c r="P396" i="1"/>
  <c r="N397" i="1"/>
  <c r="O397" i="1" s="1"/>
  <c r="Q397" i="1" s="1"/>
  <c r="P397" i="1"/>
  <c r="N398" i="1"/>
  <c r="O398" i="1" s="1"/>
  <c r="Q398" i="1" s="1"/>
  <c r="P398" i="1"/>
  <c r="N399" i="1"/>
  <c r="O399" i="1" s="1"/>
  <c r="Q399" i="1" s="1"/>
  <c r="P399" i="1"/>
  <c r="N400" i="1"/>
  <c r="O400" i="1" s="1"/>
  <c r="Q400" i="1" s="1"/>
  <c r="P400" i="1"/>
  <c r="N401" i="1"/>
  <c r="O401" i="1" s="1"/>
  <c r="Q401" i="1" s="1"/>
  <c r="P401" i="1"/>
  <c r="N402" i="1"/>
  <c r="O402" i="1" s="1"/>
  <c r="Q402" i="1" s="1"/>
  <c r="P402" i="1"/>
  <c r="N403" i="1"/>
  <c r="O403" i="1" s="1"/>
  <c r="Q403" i="1" s="1"/>
  <c r="P403" i="1"/>
  <c r="N404" i="1"/>
  <c r="O404" i="1" s="1"/>
  <c r="Q404" i="1" s="1"/>
  <c r="P404" i="1"/>
  <c r="N405" i="1"/>
  <c r="O405" i="1" s="1"/>
  <c r="Q405" i="1" s="1"/>
  <c r="P405" i="1"/>
  <c r="N406" i="1"/>
  <c r="O406" i="1" s="1"/>
  <c r="Q406" i="1" s="1"/>
  <c r="P406" i="1"/>
  <c r="R406" i="1" s="1"/>
  <c r="N407" i="1"/>
  <c r="O407" i="1" s="1"/>
  <c r="Q407" i="1" s="1"/>
  <c r="P407" i="1"/>
  <c r="N408" i="1"/>
  <c r="O408" i="1" s="1"/>
  <c r="Q408" i="1" s="1"/>
  <c r="P408" i="1"/>
  <c r="R408" i="1" s="1"/>
  <c r="N409" i="1"/>
  <c r="O409" i="1" s="1"/>
  <c r="Q409" i="1" s="1"/>
  <c r="P409" i="1"/>
  <c r="R409" i="1" s="1"/>
  <c r="N410" i="1"/>
  <c r="O410" i="1" s="1"/>
  <c r="Q410" i="1" s="1"/>
  <c r="P410" i="1"/>
  <c r="N411" i="1"/>
  <c r="O411" i="1" s="1"/>
  <c r="Q411" i="1" s="1"/>
  <c r="P411" i="1"/>
  <c r="R411" i="1" s="1"/>
  <c r="N412" i="1"/>
  <c r="O412" i="1" s="1"/>
  <c r="Q412" i="1" s="1"/>
  <c r="P412" i="1"/>
  <c r="R412" i="1" s="1"/>
  <c r="N413" i="1"/>
  <c r="O413" i="1" s="1"/>
  <c r="Q413" i="1" s="1"/>
  <c r="P413" i="1"/>
  <c r="N414" i="1"/>
  <c r="O414" i="1" s="1"/>
  <c r="Q414" i="1" s="1"/>
  <c r="P414" i="1"/>
  <c r="R414" i="1" s="1"/>
  <c r="N415" i="1"/>
  <c r="O415" i="1" s="1"/>
  <c r="Q415" i="1" s="1"/>
  <c r="P415" i="1"/>
  <c r="R415" i="1" s="1"/>
  <c r="N416" i="1"/>
  <c r="O416" i="1" s="1"/>
  <c r="Q416" i="1" s="1"/>
  <c r="P416" i="1"/>
  <c r="N417" i="1"/>
  <c r="O417" i="1" s="1"/>
  <c r="Q417" i="1" s="1"/>
  <c r="P417" i="1"/>
  <c r="R417" i="1" s="1"/>
  <c r="N418" i="1"/>
  <c r="O418" i="1" s="1"/>
  <c r="Q418" i="1" s="1"/>
  <c r="P418" i="1"/>
  <c r="R418" i="1" s="1"/>
  <c r="N419" i="1"/>
  <c r="O419" i="1" s="1"/>
  <c r="Q419" i="1" s="1"/>
  <c r="P419" i="1"/>
  <c r="N420" i="1"/>
  <c r="O420" i="1" s="1"/>
  <c r="Q420" i="1" s="1"/>
  <c r="P420" i="1"/>
  <c r="R420" i="1" s="1"/>
  <c r="N421" i="1"/>
  <c r="O421" i="1" s="1"/>
  <c r="Q421" i="1" s="1"/>
  <c r="P421" i="1"/>
  <c r="R421" i="1" s="1"/>
  <c r="N422" i="1"/>
  <c r="O422" i="1" s="1"/>
  <c r="Q422" i="1" s="1"/>
  <c r="P422" i="1"/>
  <c r="N423" i="1"/>
  <c r="O423" i="1" s="1"/>
  <c r="Q423" i="1" s="1"/>
  <c r="P423" i="1"/>
  <c r="R423" i="1" s="1"/>
  <c r="N424" i="1"/>
  <c r="O424" i="1" s="1"/>
  <c r="Q424" i="1" s="1"/>
  <c r="P424" i="1"/>
  <c r="R424" i="1" s="1"/>
  <c r="N425" i="1"/>
  <c r="O425" i="1" s="1"/>
  <c r="Q425" i="1" s="1"/>
  <c r="P425" i="1"/>
  <c r="N426" i="1"/>
  <c r="O426" i="1" s="1"/>
  <c r="Q426" i="1" s="1"/>
  <c r="P426" i="1"/>
  <c r="R426" i="1" s="1"/>
  <c r="N427" i="1"/>
  <c r="O427" i="1" s="1"/>
  <c r="Q427" i="1" s="1"/>
  <c r="P427" i="1"/>
  <c r="R427" i="1" s="1"/>
  <c r="N428" i="1"/>
  <c r="O428" i="1" s="1"/>
  <c r="Q428" i="1" s="1"/>
  <c r="P428" i="1"/>
  <c r="N429" i="1"/>
  <c r="O429" i="1" s="1"/>
  <c r="Q429" i="1" s="1"/>
  <c r="P429" i="1"/>
  <c r="R429" i="1" s="1"/>
  <c r="N430" i="1"/>
  <c r="O430" i="1" s="1"/>
  <c r="Q430" i="1" s="1"/>
  <c r="P430" i="1"/>
  <c r="R430" i="1" s="1"/>
  <c r="N431" i="1"/>
  <c r="O431" i="1" s="1"/>
  <c r="Q431" i="1" s="1"/>
  <c r="P431" i="1"/>
  <c r="N432" i="1"/>
  <c r="O432" i="1" s="1"/>
  <c r="Q432" i="1" s="1"/>
  <c r="P432" i="1"/>
  <c r="R432" i="1" s="1"/>
  <c r="N433" i="1"/>
  <c r="O433" i="1" s="1"/>
  <c r="Q433" i="1" s="1"/>
  <c r="P433" i="1"/>
  <c r="R433" i="1" s="1"/>
  <c r="N434" i="1"/>
  <c r="O434" i="1" s="1"/>
  <c r="Q434" i="1" s="1"/>
  <c r="P434" i="1"/>
  <c r="N435" i="1"/>
  <c r="O435" i="1" s="1"/>
  <c r="Q435" i="1" s="1"/>
  <c r="P435" i="1"/>
  <c r="R435" i="1" s="1"/>
  <c r="N436" i="1"/>
  <c r="O436" i="1" s="1"/>
  <c r="Q436" i="1" s="1"/>
  <c r="P436" i="1"/>
  <c r="R436" i="1" s="1"/>
  <c r="N437" i="1"/>
  <c r="O437" i="1" s="1"/>
  <c r="Q437" i="1" s="1"/>
  <c r="P437" i="1"/>
  <c r="N438" i="1"/>
  <c r="O438" i="1" s="1"/>
  <c r="Q438" i="1" s="1"/>
  <c r="P438" i="1"/>
  <c r="R438" i="1" s="1"/>
  <c r="N439" i="1"/>
  <c r="O439" i="1" s="1"/>
  <c r="Q439" i="1" s="1"/>
  <c r="P439" i="1"/>
  <c r="R439" i="1" s="1"/>
  <c r="N440" i="1"/>
  <c r="O440" i="1" s="1"/>
  <c r="Q440" i="1" s="1"/>
  <c r="P440" i="1"/>
  <c r="N441" i="1"/>
  <c r="O441" i="1" s="1"/>
  <c r="Q441" i="1" s="1"/>
  <c r="P441" i="1"/>
  <c r="R441" i="1" s="1"/>
  <c r="N442" i="1"/>
  <c r="O442" i="1" s="1"/>
  <c r="Q442" i="1" s="1"/>
  <c r="P442" i="1"/>
  <c r="N443" i="1"/>
  <c r="O443" i="1" s="1"/>
  <c r="Q443" i="1" s="1"/>
  <c r="P443" i="1"/>
  <c r="R443" i="1" s="1"/>
  <c r="N444" i="1"/>
  <c r="O444" i="1" s="1"/>
  <c r="Q444" i="1" s="1"/>
  <c r="P444" i="1"/>
  <c r="N445" i="1"/>
  <c r="O445" i="1" s="1"/>
  <c r="Q445" i="1" s="1"/>
  <c r="P445" i="1"/>
  <c r="R445" i="1" s="1"/>
  <c r="N446" i="1"/>
  <c r="O446" i="1" s="1"/>
  <c r="Q446" i="1" s="1"/>
  <c r="P446" i="1"/>
  <c r="N447" i="1"/>
  <c r="O447" i="1" s="1"/>
  <c r="Q447" i="1" s="1"/>
  <c r="P447" i="1"/>
  <c r="R447" i="1" s="1"/>
  <c r="N448" i="1"/>
  <c r="O448" i="1" s="1"/>
  <c r="Q448" i="1" s="1"/>
  <c r="P448" i="1"/>
  <c r="N449" i="1"/>
  <c r="O449" i="1" s="1"/>
  <c r="Q449" i="1" s="1"/>
  <c r="P449" i="1"/>
  <c r="R449" i="1" s="1"/>
  <c r="N450" i="1"/>
  <c r="O450" i="1" s="1"/>
  <c r="Q450" i="1" s="1"/>
  <c r="P450" i="1"/>
  <c r="N451" i="1"/>
  <c r="O451" i="1" s="1"/>
  <c r="Q451" i="1" s="1"/>
  <c r="P451" i="1"/>
  <c r="R451" i="1" s="1"/>
  <c r="N452" i="1"/>
  <c r="O452" i="1" s="1"/>
  <c r="Q452" i="1" s="1"/>
  <c r="P452" i="1"/>
  <c r="N453" i="1"/>
  <c r="O453" i="1" s="1"/>
  <c r="Q453" i="1" s="1"/>
  <c r="P453" i="1"/>
  <c r="R453" i="1" s="1"/>
  <c r="N454" i="1"/>
  <c r="O454" i="1" s="1"/>
  <c r="Q454" i="1" s="1"/>
  <c r="P454" i="1"/>
  <c r="N455" i="1"/>
  <c r="O455" i="1" s="1"/>
  <c r="Q455" i="1" s="1"/>
  <c r="P455" i="1"/>
  <c r="R455" i="1" s="1"/>
  <c r="N456" i="1"/>
  <c r="O456" i="1" s="1"/>
  <c r="Q456" i="1" s="1"/>
  <c r="P456" i="1"/>
  <c r="N457" i="1"/>
  <c r="O457" i="1" s="1"/>
  <c r="Q457" i="1" s="1"/>
  <c r="P457" i="1"/>
  <c r="R457" i="1" s="1"/>
  <c r="N458" i="1"/>
  <c r="O458" i="1" s="1"/>
  <c r="Q458" i="1" s="1"/>
  <c r="P458" i="1"/>
  <c r="N459" i="1"/>
  <c r="O459" i="1" s="1"/>
  <c r="Q459" i="1" s="1"/>
  <c r="P459" i="1"/>
  <c r="R459" i="1" s="1"/>
  <c r="N460" i="1"/>
  <c r="O460" i="1" s="1"/>
  <c r="Q460" i="1" s="1"/>
  <c r="P460" i="1"/>
  <c r="N461" i="1"/>
  <c r="O461" i="1" s="1"/>
  <c r="Q461" i="1" s="1"/>
  <c r="P461" i="1"/>
  <c r="R461" i="1" s="1"/>
  <c r="N462" i="1"/>
  <c r="O462" i="1" s="1"/>
  <c r="Q462" i="1" s="1"/>
  <c r="P462" i="1"/>
  <c r="N463" i="1"/>
  <c r="O463" i="1" s="1"/>
  <c r="Q463" i="1" s="1"/>
  <c r="P463" i="1"/>
  <c r="R463" i="1" s="1"/>
  <c r="N464" i="1"/>
  <c r="O464" i="1" s="1"/>
  <c r="Q464" i="1" s="1"/>
  <c r="P464" i="1"/>
  <c r="N465" i="1"/>
  <c r="O465" i="1" s="1"/>
  <c r="Q465" i="1" s="1"/>
  <c r="P465" i="1"/>
  <c r="R465" i="1" s="1"/>
  <c r="N466" i="1"/>
  <c r="O466" i="1" s="1"/>
  <c r="Q466" i="1" s="1"/>
  <c r="P466" i="1"/>
  <c r="N467" i="1"/>
  <c r="O467" i="1" s="1"/>
  <c r="Q467" i="1" s="1"/>
  <c r="P467" i="1"/>
  <c r="R467" i="1" s="1"/>
  <c r="N468" i="1"/>
  <c r="O468" i="1" s="1"/>
  <c r="Q468" i="1" s="1"/>
  <c r="P468" i="1"/>
  <c r="N469" i="1"/>
  <c r="O469" i="1" s="1"/>
  <c r="Q469" i="1" s="1"/>
  <c r="P469" i="1"/>
  <c r="R469" i="1" s="1"/>
  <c r="N470" i="1"/>
  <c r="O470" i="1" s="1"/>
  <c r="Q470" i="1" s="1"/>
  <c r="P470" i="1"/>
  <c r="N471" i="1"/>
  <c r="O471" i="1" s="1"/>
  <c r="Q471" i="1" s="1"/>
  <c r="P471" i="1"/>
  <c r="R471" i="1" s="1"/>
  <c r="N472" i="1"/>
  <c r="O472" i="1" s="1"/>
  <c r="Q472" i="1" s="1"/>
  <c r="P472" i="1"/>
  <c r="N473" i="1"/>
  <c r="O473" i="1" s="1"/>
  <c r="Q473" i="1" s="1"/>
  <c r="P473" i="1"/>
  <c r="R473" i="1" s="1"/>
  <c r="N474" i="1"/>
  <c r="O474" i="1" s="1"/>
  <c r="Q474" i="1" s="1"/>
  <c r="P474" i="1"/>
  <c r="N475" i="1"/>
  <c r="O475" i="1" s="1"/>
  <c r="Q475" i="1" s="1"/>
  <c r="P475" i="1"/>
  <c r="R475" i="1" s="1"/>
  <c r="N476" i="1"/>
  <c r="O476" i="1" s="1"/>
  <c r="Q476" i="1" s="1"/>
  <c r="P476" i="1"/>
  <c r="N477" i="1"/>
  <c r="O477" i="1" s="1"/>
  <c r="Q477" i="1" s="1"/>
  <c r="P477" i="1"/>
  <c r="R477" i="1" s="1"/>
  <c r="N478" i="1"/>
  <c r="O478" i="1" s="1"/>
  <c r="Q478" i="1" s="1"/>
  <c r="P478" i="1"/>
  <c r="N479" i="1"/>
  <c r="O479" i="1" s="1"/>
  <c r="Q479" i="1" s="1"/>
  <c r="P479" i="1"/>
  <c r="R479" i="1" s="1"/>
  <c r="N480" i="1"/>
  <c r="O480" i="1" s="1"/>
  <c r="Q480" i="1" s="1"/>
  <c r="P480" i="1"/>
  <c r="N481" i="1"/>
  <c r="O481" i="1" s="1"/>
  <c r="Q481" i="1" s="1"/>
  <c r="P481" i="1"/>
  <c r="R481" i="1" s="1"/>
  <c r="N482" i="1"/>
  <c r="O482" i="1" s="1"/>
  <c r="Q482" i="1" s="1"/>
  <c r="P482" i="1"/>
  <c r="N483" i="1"/>
  <c r="O483" i="1" s="1"/>
  <c r="Q483" i="1" s="1"/>
  <c r="P483" i="1"/>
  <c r="R483" i="1" s="1"/>
  <c r="N484" i="1"/>
  <c r="O484" i="1" s="1"/>
  <c r="Q484" i="1" s="1"/>
  <c r="P484" i="1"/>
  <c r="N485" i="1"/>
  <c r="O485" i="1" s="1"/>
  <c r="Q485" i="1" s="1"/>
  <c r="P485" i="1"/>
  <c r="R485" i="1" s="1"/>
  <c r="N486" i="1"/>
  <c r="O486" i="1" s="1"/>
  <c r="Q486" i="1" s="1"/>
  <c r="P486" i="1"/>
  <c r="N487" i="1"/>
  <c r="O487" i="1" s="1"/>
  <c r="Q487" i="1" s="1"/>
  <c r="P487" i="1"/>
  <c r="R487" i="1" s="1"/>
  <c r="N488" i="1"/>
  <c r="O488" i="1" s="1"/>
  <c r="Q488" i="1" s="1"/>
  <c r="P488" i="1"/>
  <c r="N489" i="1"/>
  <c r="O489" i="1" s="1"/>
  <c r="Q489" i="1" s="1"/>
  <c r="P489" i="1"/>
  <c r="R489" i="1" s="1"/>
  <c r="N490" i="1"/>
  <c r="O490" i="1" s="1"/>
  <c r="Q490" i="1" s="1"/>
  <c r="P490" i="1"/>
  <c r="N491" i="1"/>
  <c r="O491" i="1" s="1"/>
  <c r="Q491" i="1" s="1"/>
  <c r="P491" i="1"/>
  <c r="R491" i="1" s="1"/>
  <c r="N492" i="1"/>
  <c r="O492" i="1" s="1"/>
  <c r="Q492" i="1" s="1"/>
  <c r="P492" i="1"/>
  <c r="N493" i="1"/>
  <c r="O493" i="1" s="1"/>
  <c r="Q493" i="1" s="1"/>
  <c r="P493" i="1"/>
  <c r="R493" i="1" s="1"/>
  <c r="N494" i="1"/>
  <c r="O494" i="1" s="1"/>
  <c r="Q494" i="1" s="1"/>
  <c r="P494" i="1"/>
  <c r="N495" i="1"/>
  <c r="O495" i="1" s="1"/>
  <c r="Q495" i="1" s="1"/>
  <c r="P495" i="1"/>
  <c r="R495" i="1" s="1"/>
  <c r="N496" i="1"/>
  <c r="O496" i="1" s="1"/>
  <c r="Q496" i="1" s="1"/>
  <c r="P496" i="1"/>
  <c r="N497" i="1"/>
  <c r="O497" i="1" s="1"/>
  <c r="Q497" i="1" s="1"/>
  <c r="P497" i="1"/>
  <c r="R497" i="1" s="1"/>
  <c r="N498" i="1"/>
  <c r="O498" i="1" s="1"/>
  <c r="Q498" i="1" s="1"/>
  <c r="P498" i="1"/>
  <c r="N499" i="1"/>
  <c r="O499" i="1" s="1"/>
  <c r="Q499" i="1" s="1"/>
  <c r="P499" i="1"/>
  <c r="R499" i="1" s="1"/>
  <c r="N500" i="1"/>
  <c r="O500" i="1" s="1"/>
  <c r="Q500" i="1" s="1"/>
  <c r="P500" i="1"/>
  <c r="N501" i="1"/>
  <c r="O501" i="1" s="1"/>
  <c r="Q501" i="1" s="1"/>
  <c r="P501" i="1"/>
  <c r="R501" i="1" s="1"/>
  <c r="N502" i="1"/>
  <c r="O502" i="1" s="1"/>
  <c r="Q502" i="1" s="1"/>
  <c r="P502" i="1"/>
  <c r="N503" i="1"/>
  <c r="O503" i="1" s="1"/>
  <c r="Q503" i="1" s="1"/>
  <c r="P503" i="1"/>
  <c r="R503" i="1" s="1"/>
  <c r="N504" i="1"/>
  <c r="O504" i="1" s="1"/>
  <c r="Q504" i="1" s="1"/>
  <c r="P504" i="1"/>
  <c r="N505" i="1"/>
  <c r="O505" i="1" s="1"/>
  <c r="Q505" i="1" s="1"/>
  <c r="P505" i="1"/>
  <c r="R505" i="1" s="1"/>
  <c r="N506" i="1"/>
  <c r="O506" i="1" s="1"/>
  <c r="Q506" i="1" s="1"/>
  <c r="P506" i="1"/>
  <c r="N507" i="1"/>
  <c r="O507" i="1" s="1"/>
  <c r="Q507" i="1" s="1"/>
  <c r="P507" i="1"/>
  <c r="R507" i="1" s="1"/>
  <c r="N508" i="1"/>
  <c r="O508" i="1" s="1"/>
  <c r="Q508" i="1" s="1"/>
  <c r="P508" i="1"/>
  <c r="N509" i="1"/>
  <c r="O509" i="1" s="1"/>
  <c r="Q509" i="1" s="1"/>
  <c r="P509" i="1"/>
  <c r="R509" i="1" s="1"/>
  <c r="N510" i="1"/>
  <c r="O510" i="1" s="1"/>
  <c r="Q510" i="1" s="1"/>
  <c r="P510" i="1"/>
  <c r="N511" i="1"/>
  <c r="O511" i="1" s="1"/>
  <c r="Q511" i="1" s="1"/>
  <c r="P511" i="1"/>
  <c r="R511" i="1" s="1"/>
  <c r="N512" i="1"/>
  <c r="O512" i="1" s="1"/>
  <c r="Q512" i="1" s="1"/>
  <c r="P512" i="1"/>
  <c r="N513" i="1"/>
  <c r="O513" i="1" s="1"/>
  <c r="Q513" i="1" s="1"/>
  <c r="P513" i="1"/>
  <c r="R513" i="1" s="1"/>
  <c r="N514" i="1"/>
  <c r="O514" i="1" s="1"/>
  <c r="Q514" i="1" s="1"/>
  <c r="P514" i="1"/>
  <c r="N515" i="1"/>
  <c r="O515" i="1" s="1"/>
  <c r="Q515" i="1" s="1"/>
  <c r="P515" i="1"/>
  <c r="R515" i="1" s="1"/>
  <c r="N516" i="1"/>
  <c r="O516" i="1" s="1"/>
  <c r="Q516" i="1" s="1"/>
  <c r="P516" i="1"/>
  <c r="N517" i="1"/>
  <c r="O517" i="1" s="1"/>
  <c r="Q517" i="1" s="1"/>
  <c r="P517" i="1"/>
  <c r="R517" i="1" s="1"/>
  <c r="N518" i="1"/>
  <c r="O518" i="1" s="1"/>
  <c r="Q518" i="1" s="1"/>
  <c r="P518" i="1"/>
  <c r="N519" i="1"/>
  <c r="O519" i="1" s="1"/>
  <c r="Q519" i="1" s="1"/>
  <c r="P519" i="1"/>
  <c r="R519" i="1" s="1"/>
  <c r="N520" i="1"/>
  <c r="O520" i="1" s="1"/>
  <c r="Q520" i="1" s="1"/>
  <c r="P520" i="1"/>
  <c r="N521" i="1"/>
  <c r="O521" i="1" s="1"/>
  <c r="Q521" i="1" s="1"/>
  <c r="P521" i="1"/>
  <c r="R521" i="1" s="1"/>
  <c r="N522" i="1"/>
  <c r="O522" i="1" s="1"/>
  <c r="Q522" i="1" s="1"/>
  <c r="P522" i="1"/>
  <c r="N523" i="1"/>
  <c r="O523" i="1" s="1"/>
  <c r="Q523" i="1" s="1"/>
  <c r="P523" i="1"/>
  <c r="R523" i="1" s="1"/>
  <c r="N524" i="1"/>
  <c r="O524" i="1" s="1"/>
  <c r="Q524" i="1" s="1"/>
  <c r="P524" i="1"/>
  <c r="N525" i="1"/>
  <c r="O525" i="1" s="1"/>
  <c r="Q525" i="1" s="1"/>
  <c r="P525" i="1"/>
  <c r="R525" i="1" s="1"/>
  <c r="N526" i="1"/>
  <c r="O526" i="1" s="1"/>
  <c r="Q526" i="1" s="1"/>
  <c r="P526" i="1"/>
  <c r="N527" i="1"/>
  <c r="O527" i="1" s="1"/>
  <c r="Q527" i="1" s="1"/>
  <c r="P527" i="1"/>
  <c r="R527" i="1" s="1"/>
  <c r="N528" i="1"/>
  <c r="O528" i="1" s="1"/>
  <c r="Q528" i="1" s="1"/>
  <c r="P528" i="1"/>
  <c r="N529" i="1"/>
  <c r="O529" i="1" s="1"/>
  <c r="Q529" i="1" s="1"/>
  <c r="P529" i="1"/>
  <c r="R529" i="1" s="1"/>
  <c r="N530" i="1"/>
  <c r="O530" i="1" s="1"/>
  <c r="Q530" i="1" s="1"/>
  <c r="P530" i="1"/>
  <c r="N531" i="1"/>
  <c r="O531" i="1" s="1"/>
  <c r="Q531" i="1" s="1"/>
  <c r="P531" i="1"/>
  <c r="R531" i="1" s="1"/>
  <c r="N532" i="1"/>
  <c r="O532" i="1" s="1"/>
  <c r="Q532" i="1" s="1"/>
  <c r="P532" i="1"/>
  <c r="N533" i="1"/>
  <c r="O533" i="1" s="1"/>
  <c r="Q533" i="1" s="1"/>
  <c r="P533" i="1"/>
  <c r="R533" i="1" s="1"/>
  <c r="N534" i="1"/>
  <c r="O534" i="1" s="1"/>
  <c r="Q534" i="1" s="1"/>
  <c r="P534" i="1"/>
  <c r="N535" i="1"/>
  <c r="O535" i="1" s="1"/>
  <c r="Q535" i="1" s="1"/>
  <c r="P535" i="1"/>
  <c r="R535" i="1" s="1"/>
  <c r="N536" i="1"/>
  <c r="O536" i="1" s="1"/>
  <c r="Q536" i="1" s="1"/>
  <c r="P536" i="1"/>
  <c r="N537" i="1"/>
  <c r="O537" i="1" s="1"/>
  <c r="Q537" i="1" s="1"/>
  <c r="P537" i="1"/>
  <c r="R537" i="1" s="1"/>
  <c r="N538" i="1"/>
  <c r="O538" i="1" s="1"/>
  <c r="Q538" i="1" s="1"/>
  <c r="P538" i="1"/>
  <c r="N539" i="1"/>
  <c r="O539" i="1" s="1"/>
  <c r="Q539" i="1" s="1"/>
  <c r="P539" i="1"/>
  <c r="R539" i="1" s="1"/>
  <c r="N540" i="1"/>
  <c r="O540" i="1" s="1"/>
  <c r="Q540" i="1" s="1"/>
  <c r="P540" i="1"/>
  <c r="N541" i="1"/>
  <c r="O541" i="1" s="1"/>
  <c r="Q541" i="1" s="1"/>
  <c r="P541" i="1"/>
  <c r="R541" i="1" s="1"/>
  <c r="N542" i="1"/>
  <c r="O542" i="1" s="1"/>
  <c r="Q542" i="1" s="1"/>
  <c r="P542" i="1"/>
  <c r="N543" i="1"/>
  <c r="O543" i="1" s="1"/>
  <c r="Q543" i="1" s="1"/>
  <c r="P543" i="1"/>
  <c r="R543" i="1" s="1"/>
  <c r="N544" i="1"/>
  <c r="O544" i="1" s="1"/>
  <c r="Q544" i="1" s="1"/>
  <c r="P544" i="1"/>
  <c r="N545" i="1"/>
  <c r="O545" i="1" s="1"/>
  <c r="Q545" i="1" s="1"/>
  <c r="P545" i="1"/>
  <c r="N546" i="1"/>
  <c r="O546" i="1" s="1"/>
  <c r="Q546" i="1" s="1"/>
  <c r="P546" i="1"/>
  <c r="N547" i="1"/>
  <c r="O547" i="1" s="1"/>
  <c r="Q547" i="1" s="1"/>
  <c r="P547" i="1"/>
  <c r="N548" i="1"/>
  <c r="O548" i="1" s="1"/>
  <c r="Q548" i="1" s="1"/>
  <c r="P548" i="1"/>
  <c r="R548" i="1" s="1"/>
  <c r="N549" i="1"/>
  <c r="O549" i="1" s="1"/>
  <c r="Q549" i="1" s="1"/>
  <c r="P549" i="1"/>
  <c r="N550" i="1"/>
  <c r="O550" i="1" s="1"/>
  <c r="Q550" i="1" s="1"/>
  <c r="P550" i="1"/>
  <c r="R550" i="1" s="1"/>
  <c r="N551" i="1"/>
  <c r="O551" i="1" s="1"/>
  <c r="Q551" i="1" s="1"/>
  <c r="P551" i="1"/>
  <c r="R551" i="1" s="1"/>
  <c r="N552" i="1"/>
  <c r="O552" i="1" s="1"/>
  <c r="Q552" i="1" s="1"/>
  <c r="P552" i="1"/>
  <c r="N553" i="1"/>
  <c r="O553" i="1" s="1"/>
  <c r="Q553" i="1" s="1"/>
  <c r="P553" i="1"/>
  <c r="R553" i="1" s="1"/>
  <c r="N554" i="1"/>
  <c r="O554" i="1" s="1"/>
  <c r="Q554" i="1" s="1"/>
  <c r="P554" i="1"/>
  <c r="R554" i="1" s="1"/>
  <c r="N555" i="1"/>
  <c r="O555" i="1" s="1"/>
  <c r="Q555" i="1" s="1"/>
  <c r="P555" i="1"/>
  <c r="N556" i="1"/>
  <c r="O556" i="1" s="1"/>
  <c r="Q556" i="1" s="1"/>
  <c r="P556" i="1"/>
  <c r="R556" i="1" s="1"/>
  <c r="R74" i="1" l="1"/>
  <c r="R37" i="1"/>
  <c r="R384" i="1"/>
  <c r="R62" i="1"/>
  <c r="R93" i="1"/>
  <c r="R356" i="1"/>
  <c r="R98" i="1"/>
  <c r="R516" i="1"/>
  <c r="R50" i="1"/>
  <c r="R44" i="1"/>
  <c r="R506" i="1"/>
  <c r="R383" i="1"/>
  <c r="R380" i="1"/>
  <c r="R371" i="1"/>
  <c r="R365" i="1"/>
  <c r="R362" i="1"/>
  <c r="R359" i="1"/>
  <c r="R275" i="1"/>
  <c r="R231" i="1"/>
  <c r="R92" i="1"/>
  <c r="R470" i="1"/>
  <c r="R480" i="1"/>
  <c r="R396" i="1"/>
  <c r="R393" i="1"/>
  <c r="R387" i="1"/>
  <c r="R254" i="1"/>
  <c r="R184" i="1"/>
  <c r="R452" i="1"/>
  <c r="R419" i="1"/>
  <c r="R186" i="1"/>
  <c r="R14" i="1"/>
  <c r="R547" i="1"/>
  <c r="R542" i="1"/>
  <c r="R476" i="1"/>
  <c r="R428" i="1"/>
  <c r="R422" i="1"/>
  <c r="R248" i="1"/>
  <c r="R110" i="1"/>
  <c r="R104" i="1"/>
  <c r="R19" i="1"/>
  <c r="R375" i="1"/>
  <c r="R213" i="1"/>
  <c r="R446" i="1"/>
  <c r="R405" i="1"/>
  <c r="R353" i="1"/>
  <c r="R204" i="1"/>
  <c r="R165" i="1"/>
  <c r="R210" i="1"/>
  <c r="R198" i="1"/>
  <c r="R552" i="1"/>
  <c r="R546" i="1"/>
  <c r="R528" i="1"/>
  <c r="R530" i="1"/>
  <c r="R522" i="1"/>
  <c r="R486" i="1"/>
  <c r="R410" i="1"/>
  <c r="R379" i="1"/>
  <c r="R250" i="1"/>
  <c r="R190" i="1"/>
  <c r="R178" i="1"/>
  <c r="R234" i="1"/>
  <c r="R226" i="1"/>
  <c r="R107" i="1"/>
  <c r="R536" i="1"/>
  <c r="R508" i="1"/>
  <c r="R260" i="1"/>
  <c r="R168" i="1"/>
  <c r="R158" i="1"/>
  <c r="R122" i="1"/>
  <c r="R416" i="1"/>
  <c r="R399" i="1"/>
  <c r="R220" i="1"/>
  <c r="R172" i="1"/>
  <c r="R119" i="1"/>
  <c r="R504" i="1"/>
  <c r="R8" i="1"/>
  <c r="R555" i="1"/>
  <c r="R526" i="1"/>
  <c r="R431" i="1"/>
  <c r="R549" i="1"/>
  <c r="R510" i="1"/>
  <c r="R403" i="1"/>
  <c r="R398" i="1"/>
  <c r="R395" i="1"/>
  <c r="R392" i="1"/>
  <c r="R278" i="1"/>
  <c r="R174" i="1"/>
  <c r="R162" i="1"/>
  <c r="R155" i="1"/>
  <c r="R116" i="1"/>
  <c r="R95" i="1"/>
  <c r="R518" i="1"/>
  <c r="R498" i="1"/>
  <c r="R386" i="1"/>
  <c r="R437" i="1"/>
  <c r="R407" i="1"/>
  <c r="R80" i="1"/>
  <c r="R458" i="1"/>
  <c r="R152" i="1"/>
  <c r="R464" i="1"/>
  <c r="R368" i="1"/>
  <c r="R125" i="1"/>
  <c r="R56" i="1"/>
  <c r="R540" i="1"/>
  <c r="R534" i="1"/>
  <c r="R524" i="1"/>
  <c r="R492" i="1"/>
  <c r="R351" i="1"/>
  <c r="R544" i="1"/>
  <c r="R68" i="1"/>
  <c r="R425" i="1"/>
  <c r="R391" i="1"/>
  <c r="R267" i="1"/>
  <c r="R236" i="1"/>
  <c r="R214" i="1"/>
  <c r="R188" i="1"/>
  <c r="R180" i="1"/>
  <c r="R101" i="1"/>
  <c r="R11" i="1"/>
  <c r="R216" i="1"/>
  <c r="R170" i="1"/>
  <c r="R86" i="1"/>
  <c r="R45" i="1"/>
  <c r="R43" i="1"/>
  <c r="R15" i="1"/>
  <c r="R440" i="1"/>
  <c r="R434" i="1"/>
  <c r="R404" i="1"/>
  <c r="R381" i="1"/>
  <c r="R374" i="1"/>
  <c r="R369" i="1"/>
  <c r="R363" i="1"/>
  <c r="R357" i="1"/>
  <c r="R286" i="1"/>
  <c r="R280" i="1"/>
  <c r="R276" i="1"/>
  <c r="R270" i="1"/>
  <c r="R252" i="1"/>
  <c r="R192" i="1"/>
  <c r="R176" i="1"/>
  <c r="R149" i="1"/>
  <c r="R117" i="1"/>
  <c r="R113" i="1"/>
  <c r="R47" i="1"/>
  <c r="R25" i="1"/>
  <c r="R12" i="1"/>
  <c r="R159" i="1"/>
  <c r="R121" i="1"/>
  <c r="R49" i="1"/>
  <c r="R3" i="1"/>
  <c r="R444" i="1"/>
  <c r="R456" i="1"/>
  <c r="R468" i="1"/>
  <c r="R474" i="1"/>
  <c r="R532" i="1"/>
  <c r="R401" i="1"/>
  <c r="R389" i="1"/>
  <c r="R377" i="1"/>
  <c r="R256" i="1"/>
  <c r="R211" i="1"/>
  <c r="R196" i="1"/>
  <c r="R194" i="1"/>
  <c r="R157" i="1"/>
  <c r="R153" i="1"/>
  <c r="R147" i="1"/>
  <c r="R133" i="1"/>
  <c r="R120" i="1"/>
  <c r="R31" i="1"/>
  <c r="R372" i="1"/>
  <c r="R366" i="1"/>
  <c r="R202" i="1"/>
  <c r="R151" i="1"/>
  <c r="R114" i="1"/>
  <c r="R229" i="1"/>
  <c r="R223" i="1"/>
  <c r="R217" i="1"/>
  <c r="R208" i="1"/>
  <c r="R145" i="1"/>
  <c r="R127" i="1"/>
  <c r="R123" i="1"/>
  <c r="R91" i="1"/>
  <c r="R10" i="1"/>
  <c r="R156" i="1"/>
  <c r="R402" i="1"/>
  <c r="R378" i="1"/>
  <c r="R150" i="1"/>
  <c r="R139" i="1"/>
  <c r="R115" i="1"/>
  <c r="R450" i="1"/>
  <c r="R390" i="1"/>
  <c r="R462" i="1"/>
  <c r="R545" i="1"/>
  <c r="R520" i="1"/>
  <c r="R514" i="1"/>
  <c r="R512" i="1"/>
  <c r="R538" i="1"/>
  <c r="R502" i="1"/>
  <c r="R500" i="1"/>
  <c r="R496" i="1"/>
  <c r="R494" i="1"/>
  <c r="R490" i="1"/>
  <c r="R488" i="1"/>
  <c r="R484" i="1"/>
  <c r="R482" i="1"/>
  <c r="R478" i="1"/>
  <c r="R413" i="1"/>
  <c r="R397" i="1"/>
  <c r="R385" i="1"/>
  <c r="R373" i="1"/>
  <c r="R382" i="1"/>
  <c r="R360" i="1"/>
  <c r="R352" i="1"/>
  <c r="R349" i="1"/>
  <c r="R337" i="1"/>
  <c r="R328" i="1"/>
  <c r="R319" i="1"/>
  <c r="R310" i="1"/>
  <c r="R301" i="1"/>
  <c r="R292" i="1"/>
  <c r="R277" i="1"/>
  <c r="R242" i="1"/>
  <c r="R232" i="1"/>
  <c r="R466" i="1"/>
  <c r="R442" i="1"/>
  <c r="R283" i="1"/>
  <c r="R460" i="1"/>
  <c r="R448" i="1"/>
  <c r="R400" i="1"/>
  <c r="R388" i="1"/>
  <c r="R376" i="1"/>
  <c r="R358" i="1"/>
  <c r="R355" i="1"/>
  <c r="R340" i="1"/>
  <c r="R331" i="1"/>
  <c r="R322" i="1"/>
  <c r="R313" i="1"/>
  <c r="R304" i="1"/>
  <c r="R295" i="1"/>
  <c r="R454" i="1"/>
  <c r="R394" i="1"/>
  <c r="R472" i="1"/>
  <c r="R264" i="1"/>
  <c r="R370" i="1"/>
  <c r="R367" i="1"/>
  <c r="R364" i="1"/>
  <c r="R361" i="1"/>
  <c r="R354" i="1"/>
  <c r="R346" i="1"/>
  <c r="R343" i="1"/>
  <c r="R334" i="1"/>
  <c r="R325" i="1"/>
  <c r="R316" i="1"/>
  <c r="R307" i="1"/>
  <c r="R298" i="1"/>
  <c r="R289" i="1"/>
  <c r="R273" i="1"/>
  <c r="R262" i="1"/>
  <c r="R258" i="1"/>
  <c r="R245" i="1"/>
  <c r="R233" i="1"/>
  <c r="R218" i="1"/>
  <c r="R215" i="1"/>
  <c r="R212" i="1"/>
  <c r="R209" i="1"/>
  <c r="R206" i="1"/>
  <c r="R200" i="1"/>
  <c r="R239" i="1"/>
  <c r="R182" i="1"/>
  <c r="R78" i="1"/>
  <c r="R76" i="1"/>
  <c r="R60" i="1"/>
  <c r="R58" i="1"/>
  <c r="R42" i="1"/>
  <c r="R40" i="1"/>
  <c r="R22" i="1"/>
  <c r="R6" i="1"/>
  <c r="R4" i="1"/>
  <c r="R90" i="1"/>
  <c r="R84" i="1"/>
  <c r="R82" i="1"/>
  <c r="R66" i="1"/>
  <c r="R64" i="1"/>
  <c r="R48" i="1"/>
  <c r="R46" i="1"/>
  <c r="R28" i="1"/>
  <c r="R41" i="1"/>
  <c r="R160" i="1"/>
  <c r="R154" i="1"/>
  <c r="R148" i="1"/>
  <c r="R142" i="1"/>
  <c r="R136" i="1"/>
  <c r="R130" i="1"/>
  <c r="R124" i="1"/>
  <c r="R118" i="1"/>
  <c r="R94" i="1"/>
  <c r="R88" i="1"/>
  <c r="R72" i="1"/>
  <c r="R70" i="1"/>
  <c r="R54" i="1"/>
  <c r="R52" i="1"/>
  <c r="R34" i="1"/>
  <c r="R16" i="1"/>
  <c r="D4" i="4" l="1"/>
  <c r="C18" i="3" l="1"/>
  <c r="D28" i="4" s="1"/>
  <c r="D18" i="3"/>
  <c r="P2" i="1" l="1"/>
  <c r="N2" i="1"/>
  <c r="O2" i="1" s="1"/>
  <c r="Q2" i="1" l="1"/>
  <c r="D14" i="4"/>
  <c r="D16" i="4" l="1"/>
  <c r="D25" i="4"/>
  <c r="D19" i="4"/>
  <c r="D24" i="4"/>
  <c r="D18" i="4"/>
  <c r="D11" i="4"/>
  <c r="D23" i="4"/>
  <c r="D17" i="4"/>
  <c r="D10" i="4"/>
  <c r="D15" i="4"/>
  <c r="D21" i="4"/>
  <c r="D20" i="4"/>
  <c r="D13" i="4"/>
  <c r="D8" i="4"/>
  <c r="E21" i="4" l="1"/>
  <c r="E11" i="4"/>
  <c r="E15" i="4"/>
  <c r="E18" i="4"/>
  <c r="E8" i="4"/>
  <c r="E24" i="4"/>
  <c r="E13" i="4"/>
  <c r="E10" i="4"/>
  <c r="E19" i="4"/>
  <c r="E14" i="4"/>
  <c r="E17" i="4"/>
  <c r="E25" i="4"/>
  <c r="E20" i="4"/>
  <c r="E23" i="4"/>
  <c r="E16" i="4"/>
  <c r="D22" i="4"/>
  <c r="E22" i="4" s="1"/>
  <c r="D7" i="4"/>
  <c r="D12" i="4" l="1"/>
  <c r="E12" i="4" s="1"/>
  <c r="E7" i="4"/>
  <c r="R2" i="1"/>
  <c r="D9" i="4" s="1"/>
  <c r="D27" i="4" l="1"/>
  <c r="D29" i="4" s="1"/>
  <c r="E9" i="4"/>
  <c r="E29" i="4" l="1"/>
  <c r="E27" i="4"/>
</calcChain>
</file>

<file path=xl/sharedStrings.xml><?xml version="1.0" encoding="utf-8"?>
<sst xmlns="http://schemas.openxmlformats.org/spreadsheetml/2006/main" count="5204" uniqueCount="398">
  <si>
    <t>ID MERCADO RELEVANTE</t>
  </si>
  <si>
    <t>DESCRIPCIÓN MERCADO RELEVANTE</t>
  </si>
  <si>
    <t>MEDICAMENTO</t>
  </si>
  <si>
    <t>PAÍS</t>
  </si>
  <si>
    <t>FUENTE</t>
  </si>
  <si>
    <t>TIPO DE PRECIO</t>
  </si>
  <si>
    <t>MONEDA</t>
  </si>
  <si>
    <t>483a</t>
  </si>
  <si>
    <t>INTRATECT - Inmunoglobulina Humana 1000mg/20ml - Líquido/Sólido - Inyectable x 1 - BIOTEST</t>
  </si>
  <si>
    <t>BRASIL</t>
  </si>
  <si>
    <t>CMED-ANVISA</t>
  </si>
  <si>
    <t>P. FABRICANTE</t>
  </si>
  <si>
    <t>BRL</t>
  </si>
  <si>
    <t>P. INSTITUCIONAL</t>
  </si>
  <si>
    <t>INTRATECT - Inmunoglobulina Humana 10000mg/200ml - Líquido/Sólido - Inyectable x 1 - BIOTEST</t>
  </si>
  <si>
    <t>CHILE</t>
  </si>
  <si>
    <t>Central de abastecimiento del Sistema Nacional de servicios de Salud - CENABAST</t>
  </si>
  <si>
    <t>CLP</t>
  </si>
  <si>
    <t>NORUEGA</t>
  </si>
  <si>
    <t>Norwegian Medicines Agency (NOMA)</t>
  </si>
  <si>
    <t>P. CONSUMIDOR</t>
  </si>
  <si>
    <t>NOK</t>
  </si>
  <si>
    <t>P. MAYORISTA</t>
  </si>
  <si>
    <t>EE.UU.</t>
  </si>
  <si>
    <t>Federal Suply Schedule (FSS) - Department of Veterans Affairs (DVA)</t>
  </si>
  <si>
    <t>USD</t>
  </si>
  <si>
    <t>HIZENTRA - Inmunoglobulina Humana Normal 2000mg/10ml (200mg/1ml) - Líquido/Sólido - Inyectable x 20 - CSL</t>
  </si>
  <si>
    <t>483b</t>
  </si>
  <si>
    <t>HYQVIA - Inmunoglobulina Humana Normal 5000mg/50ml (100mg/1ml) - Líquido/Sólido - Inyectable x 1 - BAXALTA</t>
  </si>
  <si>
    <t>HYQVIA - Inmunoglobulina Humana Normal 10000mg/100ml (100mg/1ml) - Líquido/Sólido - Inyectable x 1 - BAXALTA</t>
  </si>
  <si>
    <t>HYQVIA - Inmunoglobulina Humana Normal 20000mg/200ml (100mg/1ml) - Líquido/Sólido - Inyectable x 1 - BAXALTA</t>
  </si>
  <si>
    <t>CUVITRU - Inmunoglobulina Humana 1000mg/5ml - Líquido/Sólido - Inyectable x 1 - BAXALTA</t>
  </si>
  <si>
    <t>CUTAQUIG - Inmunoglobulina Humana 1650mg/10ml - Líquido/Sólido - Inyectable x 1 - OCTAPHARMA</t>
  </si>
  <si>
    <t>CUTAQUIG - Inmunoglobulina Humana 1980mg/12ml - Líquido/Sólido - Inyectable x 1 - OCTAPHARMA</t>
  </si>
  <si>
    <t>CUTAQUIG - Inmunoglobulina Humana 3960mg/24ml - Líquido/Sólido - Inyectable x 1 - OCTAPHARMA</t>
  </si>
  <si>
    <t>CUTAQUIG - Inmunoglobulina Humana 7920mg/48ml - Líquido/Sólido - Inyectable x 1 - OCTAPHARMA</t>
  </si>
  <si>
    <t>543b</t>
  </si>
  <si>
    <t>PENTAGLOBIN - Inmunoglobulina A (Iga) 300mg/50ml (6mg/1ml) + Inmunoglobulina G (Igg) 1900mg/50ml (38mg/1ml) + Inmunoglobulina M (Igm) 300mg/50ml (6mg/1ml) - Líquido/Sólido - Inyectable x 1 - BIOTEST</t>
  </si>
  <si>
    <t>543a</t>
  </si>
  <si>
    <t>FRANCIA</t>
  </si>
  <si>
    <t>EUR</t>
  </si>
  <si>
    <t>REINO UNIDO</t>
  </si>
  <si>
    <t>NHS Drug Tariff</t>
  </si>
  <si>
    <t>GBP</t>
  </si>
  <si>
    <t>FLEBOGAMMA - Inmunoglobulina Humana Normal 20000mg/400ml (50mg/1ml) - Líquido/Sólido - Inyectable x 1 - GRIFOLS</t>
  </si>
  <si>
    <t>FLEBOGAMMA - Inmunoglobulina Humana Normal 2500mg/50ml (50mg/1ml) - Líquido/Sólido - Inyectable x 1 - GRIFOLS</t>
  </si>
  <si>
    <t>FLEBOGAMMA - Inmunoglobulina Humana Normal 10000mg/200ml (50mg/1ml) - Líquido/Sólido - Inyectable x 1 - GRIFOLS</t>
  </si>
  <si>
    <t>FLEBOGAMMA - Inmunoglobulina Humana Normal 20000mg/200ml (100mg/1ml) - Líquido/Sólido - Inyectable x 1 - GRIFOLS</t>
  </si>
  <si>
    <t>Center for Medicare and Medicaid Services - CMS</t>
  </si>
  <si>
    <t>FLEBOGAMMA - Inmunoglobulina Humana Normal 5000mg/50ml (100mg/1ml) - Líquido/Sólido - Inyectable x 1 - GRIFOLS</t>
  </si>
  <si>
    <t>FLEBOGAMMA - Inmunoglobulina Humana Normal 10000mg/100ml (100mg/1ml) - Líquido/Sólido - Inyectable x 1 - GRIFOLS</t>
  </si>
  <si>
    <t>Portal de compras públicas (Chilecompra)</t>
  </si>
  <si>
    <t>FLEBOGAMMA - Inmunoglobulina Humana Normal 5000mg/100ml (50mg/1ml) - Líquido/Sólido - Inyectable x 1 - GRIFOLS</t>
  </si>
  <si>
    <t>Banco de Preços Em Saude</t>
  </si>
  <si>
    <t>OCTAGAM - Inmunoglobulina Humana Normal 5000mg/50ml (100mg/1ml) - Líquido/Sólido - Inyectable x 1 - OCTAPHARMA</t>
  </si>
  <si>
    <t>OCTAGAM - Inmunoglobulina Humana Normal 10000mg/100ml (100mg/1ml) - Líquido/Sólido - Inyectable x 1 - OCTAPHARMA</t>
  </si>
  <si>
    <t>PRIVIGEN - Inmunoglobulina Humana Normal 2500mg/25ml (100mg/1ml) - Líquido/Sólido - Inyectable x 1 - CSL</t>
  </si>
  <si>
    <t>PRIVIGEN - Inmunoglobulina Humana Normal 5000mg/50ml (100mg/1ml) - Líquido/Sólido - Inyectable x 1 - CSL</t>
  </si>
  <si>
    <t>AUSTRALIA</t>
  </si>
  <si>
    <t>National Blood Authority</t>
  </si>
  <si>
    <t>AUD</t>
  </si>
  <si>
    <t>PRIVIGEN - Inmunoglobulina Humana Normal 20000mg/200ml (100mg/1ml) - Líquido/Sólido - Inyectable x 1 - CSL</t>
  </si>
  <si>
    <t>PRIVIGEN - Inmunoglobulina Humana Normal 10000mg/100ml (100mg/1ml) - Líquido/Sólido - Inyectable x 1 - CSL</t>
  </si>
  <si>
    <t>OCTAGAM - Inmunoglobulina Humana Normal 2500mg/50ml (50mg/1ml) - Líquido/Sólido - Inyectable x 1 - OCTAPHARMA</t>
  </si>
  <si>
    <t>OCTAGAM - Inmunoglobulina Humana Normal 1000mg/20ml (50mg/1ml) - Líquido/Sólido - Inyectable x 1 - OCTAPHARMA</t>
  </si>
  <si>
    <t>OCTAGAM - Inmunoglobulina Humana Normal 5000mg/100ml (50mg/1ml) - Líquido/Sólido - Inyectable x 1 - OCTAPHARMA</t>
  </si>
  <si>
    <t>INTRATECT - Inmunoglobulina Humana Normal 2500mg/50ml (50mg/1ml) - Líquido/Sólido - Inyectable x 1 - BIOTEST</t>
  </si>
  <si>
    <t>INTRATECT - Inmunoglobulina Humana Normal 5000mg/100ml (50mg/1ml) - Líquido/Sólido - Inyectable x 1 - BIOTEST</t>
  </si>
  <si>
    <t>IG VENA - Inmunoglobulina Humana Normal 5000mg/100ml (50mg/1ml) - Líquido/Sólido - Inyectable x 1 - KEDRION</t>
  </si>
  <si>
    <t>IG VENA - Inmunoglobulina Humana Normal 2500mg/50ml (50mg/1ml) - Líquido/Sólido - Inyectable x 1 - KEDRION</t>
  </si>
  <si>
    <t>IG VENA - Inmunoglobulina Humana Normal 1000mg/20ml (50mg/1ml) - Líquido/Sólido - Inyectable x 1 - KEDRION</t>
  </si>
  <si>
    <t>PANZYGA - Inmunoglobina Humana Normal 1000mg/10ml (100mg/1ml) - Líquido/Sólido  - Inyectable x 1 - OCTAPHARMA</t>
  </si>
  <si>
    <t>GAMUNEX - Inmunoglobulina Humana 1000mg/10ml - Líquido/Sólido - Inyectable x 1 - GRIFOLS THERAPEUTICS</t>
  </si>
  <si>
    <t>OCTAGAM - Inmunoglobulina Humana 20000mg/200ml - Líquido/Sólido - Inyectable x 1 - OCTAPHARMA</t>
  </si>
  <si>
    <t>TEGELINE - Inmunoglobulina Humana 5000mg/1U - Líquido/Sólido - Inyectable x 1 - LFB</t>
  </si>
  <si>
    <t>PENTAGLOBIN - Inmunoglobulina Humana 380mg/10ml - Líquido/Sólido - Inyectable x 1 - BIOTEST</t>
  </si>
  <si>
    <t>PENTAGLOBIN - Inmunoglobulina Humana 3800mg/100ml - Líquido/Sólido - Inyectable x 1 - BIOTEST</t>
  </si>
  <si>
    <t>GAMUNEX - Inmunoglobulina Humana 20000mg/200ml - Líquido/Sólido - Inyectable x 1 - GRIFOLS THERAPEUTICS</t>
  </si>
  <si>
    <t>GAMUNEX - Inmunoglobulina Humana 2500mg/25ml - Líquido/Sólido - Inyectable x 1 - GRIFOLS THERAPEUTICS</t>
  </si>
  <si>
    <t>GAMUNEX - Inmunoglobulina Humana 5000mg/50ml - Líquido/Sólido - Inyectable x 1 - GRIFOLS THERAPEUTICS</t>
  </si>
  <si>
    <t>KIOVIG - Inmunoglobulina Humana Normal 10000mg/100ml (100mg/1ml) - Líquido/Sólido - Inyectable x 1 - BAXALTA</t>
  </si>
  <si>
    <t>KIOVIG - Inmunoglobulina Humana Normal 20000mg/200ml (100mg/1ml) - Líquido/Sólido - Inyectable x 1 - BAXALTA</t>
  </si>
  <si>
    <t>KIOVIG - Inmunoglobulina Humana Normal 2500mg/25ml (100mg/1ml) - Líquido/Sólido - Inyectable x 1 - BAXALTA</t>
  </si>
  <si>
    <t>KIOVIG - Inmunoglobulina Humana Normal 30000mg/300ml (100mg/1ml) - Líquido/Sólido - Inyectable x 1 - BAXALTA</t>
  </si>
  <si>
    <t>KIOVIG - Inmunoglobulina Humana Normal 5000mg/50ml (100mg/1ml) - Líquido/Sólido - Inyectable x 1 - BAXALTA</t>
  </si>
  <si>
    <t>PANZYGA - Inmunoglobina Humana Normal 10000mg/100ml (100mg/1ml) - Líquido/Sólido - Inyectable x 1 - OCTAPHARMA</t>
  </si>
  <si>
    <t>PANZYGA - Inmunoglobina Humana Normal 20000mg/200ml (100mg/1ml) - Líquido/Sólido  - Inyectable x 1 - OCTAPHARMA</t>
  </si>
  <si>
    <t>PANZYGA - Inmunoglobina Humana Normal 2500mg/25ml (100mg/1ml) - Líquido/Sólido  - Inyectable x 1 - OCTAPHARMA</t>
  </si>
  <si>
    <t>PANZYGA - Inmunoglobina Humana Normal 5000mg/50ml (100mg/1ml) - Líquido/Sólido  - Inyectable x 1 - OCTAPHARMA</t>
  </si>
  <si>
    <t>CANTIDAD PRINCIPIO ACTIVO</t>
  </si>
  <si>
    <t>CAD</t>
  </si>
  <si>
    <t>INR</t>
  </si>
  <si>
    <t>MXN</t>
  </si>
  <si>
    <t>PEN</t>
  </si>
  <si>
    <t>ZAR</t>
  </si>
  <si>
    <t>ALEMANIA</t>
  </si>
  <si>
    <t>CANADÁ</t>
  </si>
  <si>
    <t>ECUADOR</t>
  </si>
  <si>
    <t>ESPAÑA</t>
  </si>
  <si>
    <t>PORTUGAL</t>
  </si>
  <si>
    <t>Margen de referencia internacional</t>
  </si>
  <si>
    <t>PERÚ</t>
  </si>
  <si>
    <t>CANADA</t>
  </si>
  <si>
    <t>MÉXICO</t>
  </si>
  <si>
    <t>PANAMÁ</t>
  </si>
  <si>
    <t>PRI</t>
  </si>
  <si>
    <t>ITALIA</t>
  </si>
  <si>
    <t>INDIA</t>
  </si>
  <si>
    <t>SUDAFRICA</t>
  </si>
  <si>
    <t>ID</t>
  </si>
  <si>
    <t>PRIORIDAD TIPO DE PRECIO</t>
  </si>
  <si>
    <t>UNIDAD DE MEDIDA (UM)</t>
  </si>
  <si>
    <t>SELECCIÓN TIPO DE PRECIO POR PAÍS</t>
  </si>
  <si>
    <t>PRECIO POR UM AJUSTADO (COP)</t>
  </si>
  <si>
    <t>PRECIOS DE REFERENCIA INTERNACIONAL</t>
  </si>
  <si>
    <t>PRECIOS</t>
  </si>
  <si>
    <t>MRI</t>
  </si>
  <si>
    <t>TC</t>
  </si>
  <si>
    <t>Precios de referencia internacional por mercado relevante</t>
  </si>
  <si>
    <t>PRECIO POR UNIDAD (MONEDA LOCAL)</t>
  </si>
  <si>
    <t>PRECIO POR UM (MONEDA LOCAL)</t>
  </si>
  <si>
    <t>PRECIO POR UM (COP)</t>
  </si>
  <si>
    <t>Cálculo del precio de referencia internacional</t>
  </si>
  <si>
    <t>Tasa de cambio de las monedas de los países de referencia</t>
  </si>
  <si>
    <t>CUVITRU - Inmunoglobulina Humana 4000mg/20ml - Líquido/Sólido - Inyectable - BAXALTA</t>
  </si>
  <si>
    <t>CUVITRU - Inmunoglobulina Humana Normal 1000mg/5ml (200mg/1ml) - Líquido/Sólido  - Inyectable - BAXALTA</t>
  </si>
  <si>
    <t>HIZENTRA - Inmunoglobulina Humana Normal 1000mg/5ml (200mg/1ml) - Líquido/Sólido - Inyectable - CSL</t>
  </si>
  <si>
    <t>HIZENTRA - Inmunoglobulina Humana Normal 4000mg/20ml (200mg/1ml) - Líquido/Sólido - Inyectable - CSL</t>
  </si>
  <si>
    <t>CUTAQUIG - Inmunoglobulina Humana 990mg/6ml - Líquido/Sólido - Inyectable - OCTAPHARMA</t>
  </si>
  <si>
    <t>BERIGLOBINA - Inmunoglobulina Humana Normal 320mg/2ml (160mg/1ml) - Líquido/Sólido - Inyectable  - CSL</t>
  </si>
  <si>
    <t>HYQVIA - Inmunoglobulina Humana Normal 30000mg/300ml (100mg/1ml) - Líquido/Sólido - Inyectable  - BAXALTA</t>
  </si>
  <si>
    <t>KIOVIG - Inmunoglobulina Humana Normal 1000mg/10ml (100mg/1ml) - Líquido/Sólido - Inyectable - BAXALTA</t>
  </si>
  <si>
    <t>BLAUIMUNO - Inmunoglobulina Humana Normal 5000mg/100ml (50mg/1ml) - Líquido/Sólido - Inyectable x 1 - BLAU</t>
  </si>
  <si>
    <t>INMUNOGLOBULINA G - Inmunoglobulina Humana 10000mg/100ml - Líquido/Sólido - Inyectable x 1 - QUIMBIOTEC</t>
  </si>
  <si>
    <t>Sistema Oficial de Contratación Pública</t>
  </si>
  <si>
    <t>Consejo Nacional de Fijación y revisión de Precios de Medicamentos de Uso Humano</t>
  </si>
  <si>
    <t>Observatorio de Precios - DIGEMID</t>
  </si>
  <si>
    <t>KIDROLASE  - Asparaginasa 10000UI/1U - LíqUIdo/Sólido - Inyectable - EUSAPHARMA</t>
  </si>
  <si>
    <t>SPECTRILA - Asparaginasa 10000UI/1U - LíqUIdo/Sólido - Inyectable - MEDAC</t>
  </si>
  <si>
    <t>ASPARAGINASA - Asparaginasa 10000UI/1U - LíqUIdo/Sólido - Inyectable- VHB MEDI SCIENCES</t>
  </si>
  <si>
    <t>ASPARAGINASA - Asparaginasa 10000UI/1U - LíqUIdo/Sólido - Inyectable - MEDAC</t>
  </si>
  <si>
    <t>GRECIA</t>
  </si>
  <si>
    <t>SURÁFRICA</t>
  </si>
  <si>
    <t>CUTAQUIG - Inmunoglobulina Humana 3300mg/20ml - Líquido/Sólido - Inyectable x 1 - OCTAPHARMA</t>
  </si>
  <si>
    <t>HIZENTRA - Inmunoglobulina Humana Normal 2000mg/10ml (200mg/1ml) - Líquido/Sólido - Inyectable - CSL</t>
  </si>
  <si>
    <t>PRECIO DE REFERENCIA</t>
  </si>
  <si>
    <t>838|BRASIL</t>
  </si>
  <si>
    <t xml:space="preserve"> Ioversol 33900mg/50ml (678mg/1ml) </t>
  </si>
  <si>
    <t xml:space="preserve"> Ioversol 67800mg/100ml (678mg/1ml) </t>
  </si>
  <si>
    <t xml:space="preserve"> Ioversol 84750mg/125ml (678mg/1ml) </t>
  </si>
  <si>
    <t xml:space="preserve"> Ioversol 50850mg/75ml (678mg/1ml) </t>
  </si>
  <si>
    <t xml:space="preserve"> Ioversol 37050mg/50ml (741mg/1ml) </t>
  </si>
  <si>
    <t xml:space="preserve"> Ioversol 74100mg/100ml (741mg/1ml) </t>
  </si>
  <si>
    <t xml:space="preserve"> Ioversol 92625mg/125ml (741mg/1ml) </t>
  </si>
  <si>
    <t xml:space="preserve"> Ioversol 55575mg/75ml (741mg/1ml) </t>
  </si>
  <si>
    <t>838|CHILE</t>
  </si>
  <si>
    <t>838|EE.UU.</t>
  </si>
  <si>
    <t xml:space="preserve"> Ioversol 101700mg/150ml (678mg/1ml) </t>
  </si>
  <si>
    <t xml:space="preserve"> Ioversol 13560mg/20ml (678mg/1ml) </t>
  </si>
  <si>
    <t xml:space="preserve"> Ioversol 20340mg/30ml (678mg/1ml) </t>
  </si>
  <si>
    <t xml:space="preserve"> Ioversol 135600mg/200ml (678mg/1ml) </t>
  </si>
  <si>
    <t>838|FRANCIA</t>
  </si>
  <si>
    <t xml:space="preserve"> Ioversol 63600mg/100ml (636mg/1ml) </t>
  </si>
  <si>
    <t>L'assurance maladie</t>
  </si>
  <si>
    <t xml:space="preserve"> Ioversol 31800mg/50ml (636mg/1ml) </t>
  </si>
  <si>
    <t xml:space="preserve"> Ioversol 47700mg/75ml (636mg/1ml) </t>
  </si>
  <si>
    <t xml:space="preserve"> Ioversol 127200mg/200ml (636mg/1ml) </t>
  </si>
  <si>
    <t>838|NORUEGA</t>
  </si>
  <si>
    <t xml:space="preserve"> Ioversol 95400mg/150ml (636mg/1ml) </t>
  </si>
  <si>
    <t xml:space="preserve"> Ioversol 148200mg/200ml (741mg/1ml) </t>
  </si>
  <si>
    <t xml:space="preserve"> Ioversol 370500mg/500ml (741mg/1ml) </t>
  </si>
  <si>
    <t>838|PANAMÁ</t>
  </si>
  <si>
    <t>Plataforma de compras públicas. (panamacompra)</t>
  </si>
  <si>
    <t>838|REINO UNIDO</t>
  </si>
  <si>
    <t>National Health Service</t>
  </si>
  <si>
    <t>838|GRECIA</t>
  </si>
  <si>
    <t>Ministerio de Salud</t>
  </si>
  <si>
    <t>838|SUDAFRICA</t>
  </si>
  <si>
    <t>National Department Of Health</t>
  </si>
  <si>
    <t>Asparaginasa  -Líquido/Sólido - Inyectable</t>
  </si>
  <si>
    <t>Inmunoglobulina Humana Normal (admin. extravascular) -Líquido/Sólido - Inyectable</t>
  </si>
  <si>
    <t>Inmunoglobulina Humana Normal (admin. extravascular) con Hialuronidasa -Líquido/Sólido - Inyectable</t>
  </si>
  <si>
    <t>Inmunoglobulina Humana Normal (admin. intravascular) (con proporción de IgG mayor al 95%) -Líquido/Sólido - Inyectable</t>
  </si>
  <si>
    <t>Inmunoglobulina Humana Normal (admin. intravascular) (IgG, IgM, IgA) -Líquido/Sólido - Inyectable</t>
  </si>
  <si>
    <t>Ioversol -Líquido/Sólido - Inyectable</t>
  </si>
  <si>
    <t>UI</t>
  </si>
  <si>
    <t>mg</t>
  </si>
  <si>
    <t>ID MERCADO RELEVANTE Y PAÍS</t>
  </si>
  <si>
    <t>PRECIO DE REFERENCIA POR PAÍS</t>
  </si>
  <si>
    <t>UNIDAD DE MEDIDA</t>
  </si>
  <si>
    <t>PRI 20</t>
  </si>
  <si>
    <r>
      <t xml:space="preserve">PM </t>
    </r>
    <r>
      <rPr>
        <b/>
        <sz val="12"/>
        <color theme="0"/>
        <rFont val="Aptos Narrow"/>
        <family val="2"/>
      </rPr>
      <t>→</t>
    </r>
    <r>
      <rPr>
        <b/>
        <sz val="12"/>
        <color theme="0"/>
        <rFont val="Century Gothic"/>
        <family val="2"/>
      </rPr>
      <t xml:space="preserve"> PC</t>
    </r>
  </si>
  <si>
    <r>
      <t xml:space="preserve">PF </t>
    </r>
    <r>
      <rPr>
        <b/>
        <sz val="12"/>
        <color theme="0"/>
        <rFont val="Aptos Narrow"/>
        <family val="2"/>
      </rPr>
      <t>→</t>
    </r>
    <r>
      <rPr>
        <b/>
        <sz val="12"/>
        <color theme="0"/>
        <rFont val="Century Gothic"/>
        <family val="2"/>
      </rPr>
      <t xml:space="preserve"> PM</t>
    </r>
  </si>
  <si>
    <t>Tasa de cambio</t>
  </si>
  <si>
    <t>1. De los márgenes disponibles por país, se toma el margen más alto como referencia para el país.</t>
  </si>
  <si>
    <t>TASA DE CAMBIO</t>
  </si>
  <si>
    <r>
      <t xml:space="preserve">2. Para definir el </t>
    </r>
    <r>
      <rPr>
        <b/>
        <sz val="11"/>
        <color theme="1"/>
        <rFont val="Century Gothic"/>
        <family val="2"/>
      </rPr>
      <t>Margen de Referencia Internacional (MRI)</t>
    </r>
    <r>
      <rPr>
        <sz val="11"/>
        <color theme="1"/>
        <rFont val="Century Gothic"/>
        <family val="2"/>
      </rPr>
      <t>, se calcula el promedio simple de los márgenes disponibles.</t>
    </r>
  </si>
  <si>
    <t>Valor nominal de la moneda de los países de referencia expresada en pesos colombianos publicada por el Banco de la República</t>
  </si>
  <si>
    <t>Margen de Referencia Internacional</t>
  </si>
  <si>
    <t>Precio de Referencia Internacional</t>
  </si>
  <si>
    <t>Seleccione el mercado relevante de la lista desplegable:</t>
  </si>
  <si>
    <t>Margen de ajuste</t>
  </si>
  <si>
    <t>Precio máximo de venta</t>
  </si>
  <si>
    <t>ID MERCADO RELEVANTE:</t>
  </si>
  <si>
    <t>MERCADO RELEVANTE:</t>
  </si>
  <si>
    <t>Sistema Electrónico de Contratación del estado - SEACE</t>
  </si>
  <si>
    <t>Ministerio de Sanidad (Boletin Oficial del Estado)</t>
  </si>
  <si>
    <t>Agenzia Italiana del Farmaco</t>
  </si>
  <si>
    <t>Plataforma Integral CompraNet</t>
  </si>
  <si>
    <t>655|BRASIL</t>
  </si>
  <si>
    <t>655|CHILE</t>
  </si>
  <si>
    <t>655|ECUADOR</t>
  </si>
  <si>
    <t>655|ITALIA</t>
  </si>
  <si>
    <t>655|REINO UNIDO</t>
  </si>
  <si>
    <t>483a|BRASIL</t>
  </si>
  <si>
    <t>543a|BRASIL</t>
  </si>
  <si>
    <t>483a|CHILE</t>
  </si>
  <si>
    <t>483a|ECUADOR</t>
  </si>
  <si>
    <t>483a|EE.UU.</t>
  </si>
  <si>
    <t>483a|GRECIA</t>
  </si>
  <si>
    <t>543a|GRECIA</t>
  </si>
  <si>
    <t>483a|ITALIA</t>
  </si>
  <si>
    <t>543a|ITALIA</t>
  </si>
  <si>
    <t>483a|NORUEGA</t>
  </si>
  <si>
    <t>483a|SUDAFRICA</t>
  </si>
  <si>
    <t>483b|BRASIL</t>
  </si>
  <si>
    <t>483b|EE.UU.</t>
  </si>
  <si>
    <t>483b|GRECIA</t>
  </si>
  <si>
    <t>483b|ITALIA</t>
  </si>
  <si>
    <t>483b|NORUEGA</t>
  </si>
  <si>
    <t>543a|AUSTRALIA</t>
  </si>
  <si>
    <t>543a|CHILE</t>
  </si>
  <si>
    <t>543a|ECUADOR</t>
  </si>
  <si>
    <t>543a|EE.UU.</t>
  </si>
  <si>
    <t>543a|NORUEGA</t>
  </si>
  <si>
    <t>543a|PERÚ</t>
  </si>
  <si>
    <t>543a|SUDAFRICA</t>
  </si>
  <si>
    <t>543b|BRASIL</t>
  </si>
  <si>
    <t>838|PERÚ</t>
  </si>
  <si>
    <t>838|MÉXICO</t>
  </si>
  <si>
    <t>483a|REINO UNIDO</t>
  </si>
  <si>
    <t>483a|ESPAÑA</t>
  </si>
  <si>
    <t>Fuentes internacionales de precios de medicamentos</t>
  </si>
  <si>
    <t>País</t>
  </si>
  <si>
    <t>Fuente</t>
  </si>
  <si>
    <t>Enlace</t>
  </si>
  <si>
    <t>DIMDI (Institute of Medical Documentation and Information)</t>
  </si>
  <si>
    <t>https://www.bfarm.de/DE/Arzneimittel/Arzneimittelinformationen/Festbetraege-und-Zuzahlungen/Festbetraege/_node.html</t>
  </si>
  <si>
    <t>https://blood.gov.au/national-product-price-list</t>
  </si>
  <si>
    <t>Pharmaceutical Benefits Scheme</t>
  </si>
  <si>
    <t>https://www.pbs.gov.au/info/industry/pricing/ex-manufacturer-price</t>
  </si>
  <si>
    <t>http://bps.saude.gov.br/login.jsf</t>
  </si>
  <si>
    <t>https://www.gov.br/anvisa/pt-br/assuntos/medicamentos/cmed/precos</t>
  </si>
  <si>
    <t>Ontario Drug Benefit Formulary/Comparative Drug Index</t>
  </si>
  <si>
    <t>https://www.formulary.health.gov.on.ca/formulary/</t>
  </si>
  <si>
    <t>Ontario Drug Benefit Formulary/Comparative Drug Index - EXCEPTIONAL ACCESS PROGRAM</t>
  </si>
  <si>
    <t>http://www.health.gov.on.ca/en/pro/programs/drugs/odbf/odbf_except_access.aspx</t>
  </si>
  <si>
    <t>Regie de lássurance maladie du Quebec</t>
  </si>
  <si>
    <t>https://www.ramq.gouv.qc.ca/en/about-us/list-medications</t>
  </si>
  <si>
    <t>https://www.mercadopublico.cl/Portal/Modules/Site/Busquedas/BuscadorAvanzado.aspx?qs=1</t>
  </si>
  <si>
    <t>http://www.salud.gob.ec/consejo-nacional-de-fijacion-y-revision-de-precios-de-medicamentos/</t>
  </si>
  <si>
    <t>https://www.compraspublicas.gob.ec/ProcesoContratacion/compras/PC/buscarProceso.cpe?sg=1</t>
  </si>
  <si>
    <t xml:space="preserve">https://www.cms.gov/Medicare/Medicare-Fee-for-Service-Part-B-Drugs/McrPartBDrugAvgSalesPrice/2017ASPFiles.html </t>
  </si>
  <si>
    <t>https://www.va.gov/oal/business/fss/pharmPrices.asp</t>
  </si>
  <si>
    <t>MEDICAID</t>
  </si>
  <si>
    <t>https://www.medicaid.gov/medicaid/prescription-drugs/retail-price-survey/index.html</t>
  </si>
  <si>
    <t>https://boe.es/buscar/doc.php?id=BOE-A-2023-22303</t>
  </si>
  <si>
    <t>http://www.codage.ext.cnamts.fr/codif/bdm_it/index.php?p_site</t>
  </si>
  <si>
    <t>Ministère des Affaires sociales et de la Santé</t>
  </si>
  <si>
    <t>http://medicprix.sante.gouv.fr/medicprix/welcome.do</t>
  </si>
  <si>
    <t>Ministère des Affaires sociales, de la Santé et des Droits des femmes</t>
  </si>
  <si>
    <t>http://base-donnees-publique.medicaments.gouv.fr/</t>
  </si>
  <si>
    <t>https://www.moh.gov.gr/articles/times-farmakwn/deltia-timwn</t>
  </si>
  <si>
    <t>National Pharmaceutical Pricing Authority</t>
  </si>
  <si>
    <t>https://nppaipdms.gov.in/IMCS/hissso/loginLogin.imcs</t>
  </si>
  <si>
    <t>https://www.aifa.gov.it/liste-farmaci-a-h</t>
  </si>
  <si>
    <t>Instituto mexicano del Seguro Social</t>
  </si>
  <si>
    <t>http://compras.imss.gob.mx/?P=search_alt</t>
  </si>
  <si>
    <t>https://compranet.hacienda.gob.mx/web/login.html</t>
  </si>
  <si>
    <t>https://www.dmp.no/en/public-funding-and-pricing-of-medicines/pricing-of-medicines/maximum-price</t>
  </si>
  <si>
    <t>https://www.panamacompra.gob.pa/Inicio/#/busqueda-avanzada-v2</t>
  </si>
  <si>
    <t>http://observatorio.digemid.minsa.gob.pe/</t>
  </si>
  <si>
    <t>http://prodapp2.seace.gob.pe/seacebus-uiwd-pub/buscadorPublico/buscadorPublico.xhtml#</t>
  </si>
  <si>
    <t>Autoridade Nacional do Medicamentos e Produtos de Saude (INFARMED)</t>
  </si>
  <si>
    <t>http://app7.infarmed.pt/infomed/inicio.php</t>
  </si>
  <si>
    <t>NICE</t>
  </si>
  <si>
    <t>https://www.nice.org.uk/</t>
  </si>
  <si>
    <t>http://www.nhsbsa.nhs.uk/PrescriptionServices/4940.aspx</t>
  </si>
  <si>
    <t>https://dmd-browser.nhsbsa.nhs.uk/</t>
  </si>
  <si>
    <t>https://www.health.gov.za/nhi-pee/</t>
  </si>
  <si>
    <t>Márgenes de ajuste de los precios internacionales</t>
  </si>
  <si>
    <r>
      <t xml:space="preserve">PF: </t>
    </r>
    <r>
      <rPr>
        <sz val="11"/>
        <color theme="1"/>
        <rFont val="Calibri"/>
        <family val="2"/>
        <scheme val="minor"/>
      </rPr>
      <t>Precio fabricante</t>
    </r>
    <r>
      <rPr>
        <b/>
        <sz val="11"/>
        <color theme="1"/>
        <rFont val="Calibri"/>
        <family val="2"/>
        <scheme val="minor"/>
      </rPr>
      <t xml:space="preserve"> PM: </t>
    </r>
    <r>
      <rPr>
        <sz val="11"/>
        <color theme="1"/>
        <rFont val="Calibri"/>
        <family val="2"/>
        <scheme val="minor"/>
      </rPr>
      <t>Precio mayorista</t>
    </r>
    <r>
      <rPr>
        <b/>
        <sz val="11"/>
        <color theme="1"/>
        <rFont val="Calibri"/>
        <family val="2"/>
        <scheme val="minor"/>
      </rPr>
      <t xml:space="preserve"> Pcompra: </t>
    </r>
    <r>
      <rPr>
        <sz val="11"/>
        <color theme="1"/>
        <rFont val="Calibri"/>
        <family val="2"/>
        <scheme val="minor"/>
      </rPr>
      <t>precio de compra de droguería (indiferente a quien compra)</t>
    </r>
    <r>
      <rPr>
        <b/>
        <sz val="11"/>
        <color theme="1"/>
        <rFont val="Calibri"/>
        <family val="2"/>
        <scheme val="minor"/>
      </rPr>
      <t xml:space="preserve"> Pcons: </t>
    </r>
    <r>
      <rPr>
        <sz val="11"/>
        <color theme="1"/>
        <rFont val="Calibri"/>
        <family val="2"/>
        <scheme val="minor"/>
      </rPr>
      <t>Precio al consumidor</t>
    </r>
  </si>
  <si>
    <t>Margen de ajuste hasta el mayorista o institucional</t>
  </si>
  <si>
    <t>Margen de ajuste hasta el consumidor</t>
  </si>
  <si>
    <t>Fecha inicio vigencia</t>
  </si>
  <si>
    <t>Rango</t>
  </si>
  <si>
    <t>Márgen</t>
  </si>
  <si>
    <t>Márgen**</t>
  </si>
  <si>
    <t>PF ≤ € 0,84</t>
  </si>
  <si>
    <t>PM ≤ € 1,22</t>
  </si>
  <si>
    <t xml:space="preserve">€ 0,85 ≤ PF ≤ € 0,88 </t>
  </si>
  <si>
    <t xml:space="preserve">€ 1,23 ≤ PM ≤ € 1,34 </t>
  </si>
  <si>
    <t xml:space="preserve">€0,89 ≤ PF ≤ €1,70 </t>
  </si>
  <si>
    <t xml:space="preserve">€1,35 ≤ PM ≤ €3,88 </t>
  </si>
  <si>
    <t xml:space="preserve">€ 1,71 ≤ PF ≤ € 1,74 </t>
  </si>
  <si>
    <t>€ 3,89 ≤ PM ≤ € 4,22</t>
  </si>
  <si>
    <t xml:space="preserve">€1,75 ≤ PF ≤ €2,56 </t>
  </si>
  <si>
    <t>€4,23 ≤ PM ≤ €7,30</t>
  </si>
  <si>
    <t xml:space="preserve">€ 2,57 ≤ PF ≤ € 2,63 </t>
  </si>
  <si>
    <t>€ 7,31 ≤ PM ≤ € 8,67</t>
  </si>
  <si>
    <t xml:space="preserve">€2,64 ≤ PF ≤ €3,65 </t>
  </si>
  <si>
    <t>€8,68 ≤ PM ≤ €12,14</t>
  </si>
  <si>
    <t>€ 3,66 ≤ PF ≤ € 3,75</t>
  </si>
  <si>
    <t>€ 12,15 ≤ PM ≤ € 13,55</t>
  </si>
  <si>
    <t>€3,76 ≤ PF ≤ €6,03</t>
  </si>
  <si>
    <t>€13,56 ≤ PM ≤ €19,42</t>
  </si>
  <si>
    <t>€ 6,04 ≤ PF ≤ € 6,20</t>
  </si>
  <si>
    <t>€ 19,43 ≤ PM ≤ € 22,57</t>
  </si>
  <si>
    <t>€6,21 ≤ PF ≤ €9,10</t>
  </si>
  <si>
    <t>€22,58 ≤ PM ≤ €29,14</t>
  </si>
  <si>
    <t>€ 9,11 ≤ PF ≤ € 10,92</t>
  </si>
  <si>
    <t>€ 29,15 ≤ PM ≤ € 35,94</t>
  </si>
  <si>
    <t>€10,93 ≤ PF ≤ €44,46</t>
  </si>
  <si>
    <t>€35,95 ≤ PM ≤ €543,91</t>
  </si>
  <si>
    <t>€ 44,47 ≤ PF ≤ € 55,58</t>
  </si>
  <si>
    <t>PM &gt; € 543,92</t>
  </si>
  <si>
    <t>8,263% + € 118,24</t>
  </si>
  <si>
    <t>€55,59 ≤ PF ≤ €684,76</t>
  </si>
  <si>
    <t>PF ≥ €684,77</t>
  </si>
  <si>
    <t>3% + € 61,63</t>
  </si>
  <si>
    <t>PF≤ $5.50</t>
  </si>
  <si>
    <t>PF&gt; $5.50≤$720</t>
  </si>
  <si>
    <t>PF&gt;$720</t>
  </si>
  <si>
    <t>Pcompra &lt; $100</t>
  </si>
  <si>
    <t>$100 ≤ Pcompra ≤ $2000</t>
  </si>
  <si>
    <t>$4.62 + [(PM-100)*5%]</t>
  </si>
  <si>
    <t>Pcompra &gt; $2000</t>
  </si>
  <si>
    <r>
      <t>BRASIL</t>
    </r>
    <r>
      <rPr>
        <b/>
        <vertAlign val="superscript"/>
        <sz val="10"/>
        <color theme="1"/>
        <rFont val="Century Gothic"/>
        <family val="2"/>
      </rPr>
      <t>1</t>
    </r>
  </si>
  <si>
    <t>PF</t>
  </si>
  <si>
    <t>12%*</t>
  </si>
  <si>
    <t xml:space="preserve"> PF ≤ €91,63</t>
  </si>
  <si>
    <t>PF ≤ €91,63</t>
  </si>
  <si>
    <t>PF &gt; €91,63</t>
  </si>
  <si>
    <t xml:space="preserve">€91,63 &lt; PF ≤ €200 </t>
  </si>
  <si>
    <t xml:space="preserve">€200 &lt; PF ≤ €500 </t>
  </si>
  <si>
    <t>PF &gt; €500</t>
  </si>
  <si>
    <t xml:space="preserve"> PF ≤ €468,97</t>
  </si>
  <si>
    <t>PF ≤ €1,91</t>
  </si>
  <si>
    <t xml:space="preserve">1/04/2022
</t>
  </si>
  <si>
    <t>€1,92 ≤ PF ≤ €22,90</t>
  </si>
  <si>
    <t>PF &gt; €468,67</t>
  </si>
  <si>
    <t>€22,91 ≤ PF ≤ €150</t>
  </si>
  <si>
    <t>€150,01 ≤ PF ≤ €1930</t>
  </si>
  <si>
    <t>PF &gt; €1930</t>
  </si>
  <si>
    <t>PM</t>
  </si>
  <si>
    <t>Pcompra</t>
  </si>
  <si>
    <t>Link</t>
  </si>
  <si>
    <t>PF ≤ €5</t>
  </si>
  <si>
    <t>2,24% + €0,25</t>
  </si>
  <si>
    <t>5,58% + €0,63</t>
  </si>
  <si>
    <t>€5,01 ≤ PF ≤ €7</t>
  </si>
  <si>
    <t>2,17% + €0,52</t>
  </si>
  <si>
    <t>5,51% + €1,31</t>
  </si>
  <si>
    <t>€7,01 ≤ PF ≤ €10</t>
  </si>
  <si>
    <t>2,12% + €0,71</t>
  </si>
  <si>
    <t>5,36% + €1,79</t>
  </si>
  <si>
    <t>€10,01 ≤ PF ≤ €20</t>
  </si>
  <si>
    <t>2% + €1,12</t>
  </si>
  <si>
    <t>5,05% + €2,8</t>
  </si>
  <si>
    <t>€20,01 ≤ PF ≤ €50</t>
  </si>
  <si>
    <t>1,84% + €2,20</t>
  </si>
  <si>
    <t>4,49% + €5,32</t>
  </si>
  <si>
    <t>PF &gt; €50</t>
  </si>
  <si>
    <t>1,18% + €3,68</t>
  </si>
  <si>
    <t>2,66% + €8,28</t>
  </si>
  <si>
    <t>PF&lt;$100</t>
  </si>
  <si>
    <t>8% + $3 + 15%(IVA)</t>
  </si>
  <si>
    <t>$100≤PF&lt;$500</t>
  </si>
  <si>
    <t>6% + $4 + 15%(IVA)</t>
  </si>
  <si>
    <t>$500≤PF&lt;$1000</t>
  </si>
  <si>
    <t>4% + $5 + 15%(IVA)</t>
  </si>
  <si>
    <t>PF&gt;$1000</t>
  </si>
  <si>
    <t>$54+ 15%(IVA)</t>
  </si>
  <si>
    <t>PF&lt;$129.43</t>
  </si>
  <si>
    <t>46% + $18.82 + 15%(IVA)</t>
  </si>
  <si>
    <t>$129.43≤PF&lt;$344.43</t>
  </si>
  <si>
    <t>33% + $34.93 + 15%(IVA)</t>
  </si>
  <si>
    <t>$344.43≤PF&lt;$1245.97</t>
  </si>
  <si>
    <t>15% + 99.78 + 15%(IVA)</t>
  </si>
  <si>
    <t>PF&gt;$1245.97</t>
  </si>
  <si>
    <t>5% + $220.21 +15%(IVA)</t>
  </si>
  <si>
    <r>
      <t xml:space="preserve">Última actualización: </t>
    </r>
    <r>
      <rPr>
        <sz val="11"/>
        <color theme="1"/>
        <rFont val="Calibri"/>
        <family val="2"/>
        <scheme val="minor"/>
      </rPr>
      <t xml:space="preserve"> Febrero de 2024</t>
    </r>
  </si>
  <si>
    <r>
      <t xml:space="preserve">Última actualización:  </t>
    </r>
    <r>
      <rPr>
        <sz val="11"/>
        <color theme="1"/>
        <rFont val="Calibri"/>
        <family val="2"/>
        <scheme val="minor"/>
      </rPr>
      <t>Abril de 2024</t>
    </r>
  </si>
  <si>
    <t>No.</t>
  </si>
  <si>
    <r>
      <t xml:space="preserve">El periodo de referencia corresponde al </t>
    </r>
    <r>
      <rPr>
        <b/>
        <sz val="11"/>
        <rFont val="Century Gothic"/>
        <family val="2"/>
      </rPr>
      <t>1 de enero de 2022 al 31 de diciembre de 2023</t>
    </r>
  </si>
  <si>
    <t>FUENTES</t>
  </si>
  <si>
    <t>MARGEN</t>
  </si>
  <si>
    <t>Versión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</si>
</sst>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.000%"/>
    <numFmt numFmtId="165" formatCode="&quot;$&quot;\ #,##0.000000;[Red]\-&quot;$&quot;\ #,##0.000000"/>
    <numFmt numFmtId="166" formatCode="&quot;$&quot;#,##0.00;[Red]\-&quot;$&quot;#,##0.00"/>
    <numFmt numFmtId="167" formatCode="&quot;$&quot;#,##0.00"/>
    <numFmt numFmtId="168" formatCode="0.0%"/>
    <numFmt numFmtId="169" formatCode=";;;"/>
    <numFmt numFmtId="170" formatCode="[$-409]d\-mmm\-yy;@"/>
    <numFmt numFmtId="171" formatCode="[$€-2]\ #,##0.00;[Red]\-[$€-2]\ #,##0.00"/>
    <numFmt numFmtId="172" formatCode="&quot;$&quot;\ #,##0.00_);[Red]\(&quot;$&quot;\ #,##0.00\)"/>
    <numFmt numFmtId="173" formatCode="[$€-2]\ #,##0;[Red]\-[$€-2]\ #,##0"/>
  </numFmts>
  <fonts count="35" x14ac:knownFonts="1"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16"/>
      <name val="Century Gothic"/>
      <family val="2"/>
    </font>
    <font>
      <b/>
      <sz val="10"/>
      <name val="Arial"/>
      <family val="2"/>
    </font>
    <font>
      <sz val="11"/>
      <color theme="0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8"/>
      <color theme="1"/>
      <name val="Century Gothic"/>
      <family val="2"/>
    </font>
    <font>
      <b/>
      <sz val="10"/>
      <color theme="0"/>
      <name val="Calibri"/>
      <family val="2"/>
      <scheme val="minor"/>
    </font>
    <font>
      <b/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entury Gothic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Aptos Narrow"/>
      <family val="2"/>
    </font>
    <font>
      <b/>
      <sz val="26"/>
      <color theme="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entury Gothic"/>
      <family val="2"/>
    </font>
    <font>
      <b/>
      <sz val="11"/>
      <color theme="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u/>
      <sz val="10"/>
      <color theme="10"/>
      <name val="Century Gothic"/>
      <family val="2"/>
    </font>
    <font>
      <sz val="10"/>
      <name val="Century Gothic"/>
      <family val="2"/>
    </font>
    <font>
      <b/>
      <vertAlign val="superscript"/>
      <sz val="10"/>
      <color theme="1"/>
      <name val="Century Gothic"/>
      <family val="2"/>
    </font>
    <font>
      <u/>
      <sz val="11"/>
      <color theme="10"/>
      <name val="Century Gothic"/>
      <family val="2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3B3A9"/>
        <bgColor indexed="64"/>
      </patternFill>
    </fill>
    <fill>
      <patternFill patternType="solid">
        <fgColor rgb="FFD7E9E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/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4" fillId="0" borderId="0"/>
  </cellStyleXfs>
  <cellXfs count="161">
    <xf numFmtId="0" fontId="0" fillId="0" borderId="0" xfId="0"/>
    <xf numFmtId="8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6" fontId="5" fillId="0" borderId="0" xfId="0" applyNumberFormat="1" applyFont="1"/>
    <xf numFmtId="0" fontId="5" fillId="0" borderId="0" xfId="0" applyFont="1" applyAlignment="1">
      <alignment horizontal="center" vertical="center"/>
    </xf>
    <xf numFmtId="166" fontId="4" fillId="2" borderId="1" xfId="0" applyNumberFormat="1" applyFont="1" applyFill="1" applyBorder="1"/>
    <xf numFmtId="0" fontId="7" fillId="0" borderId="0" xfId="0" applyFont="1"/>
    <xf numFmtId="4" fontId="7" fillId="0" borderId="0" xfId="0" applyNumberFormat="1" applyFont="1" applyAlignment="1">
      <alignment horizontal="left"/>
    </xf>
    <xf numFmtId="0" fontId="10" fillId="0" borderId="0" xfId="0" applyFont="1"/>
    <xf numFmtId="0" fontId="12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6" fontId="4" fillId="6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8" fontId="5" fillId="0" borderId="1" xfId="0" applyNumberFormat="1" applyFont="1" applyBorder="1" applyAlignment="1">
      <alignment horizontal="right" indent="2"/>
    </xf>
    <xf numFmtId="0" fontId="14" fillId="6" borderId="1" xfId="0" applyFont="1" applyFill="1" applyBorder="1" applyAlignment="1">
      <alignment horizontal="center"/>
    </xf>
    <xf numFmtId="8" fontId="5" fillId="6" borderId="1" xfId="0" applyNumberFormat="1" applyFont="1" applyFill="1" applyBorder="1" applyAlignment="1">
      <alignment horizontal="right" indent="2"/>
    </xf>
    <xf numFmtId="0" fontId="2" fillId="5" borderId="1" xfId="0" applyFont="1" applyFill="1" applyBorder="1" applyAlignment="1">
      <alignment horizontal="center"/>
    </xf>
    <xf numFmtId="0" fontId="10" fillId="7" borderId="6" xfId="0" applyFont="1" applyFill="1" applyBorder="1"/>
    <xf numFmtId="0" fontId="10" fillId="7" borderId="7" xfId="0" applyFont="1" applyFill="1" applyBorder="1"/>
    <xf numFmtId="0" fontId="10" fillId="7" borderId="8" xfId="0" applyFont="1" applyFill="1" applyBorder="1"/>
    <xf numFmtId="0" fontId="11" fillId="7" borderId="9" xfId="0" applyFont="1" applyFill="1" applyBorder="1" applyAlignment="1">
      <alignment horizontal="right"/>
    </xf>
    <xf numFmtId="0" fontId="10" fillId="7" borderId="9" xfId="0" applyFont="1" applyFill="1" applyBorder="1"/>
    <xf numFmtId="0" fontId="10" fillId="7" borderId="11" xfId="0" applyFont="1" applyFill="1" applyBorder="1"/>
    <xf numFmtId="0" fontId="10" fillId="7" borderId="12" xfId="0" applyFont="1" applyFill="1" applyBorder="1"/>
    <xf numFmtId="0" fontId="10" fillId="7" borderId="13" xfId="0" applyFont="1" applyFill="1" applyBorder="1"/>
    <xf numFmtId="0" fontId="8" fillId="7" borderId="7" xfId="0" applyFont="1" applyFill="1" applyBorder="1"/>
    <xf numFmtId="0" fontId="5" fillId="7" borderId="0" xfId="0" applyFont="1" applyFill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0" xfId="0" applyFont="1" applyFill="1"/>
    <xf numFmtId="0" fontId="5" fillId="7" borderId="10" xfId="0" applyFont="1" applyFill="1" applyBorder="1"/>
    <xf numFmtId="0" fontId="2" fillId="5" borderId="2" xfId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8" fontId="16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8" fontId="0" fillId="0" borderId="1" xfId="2" applyNumberFormat="1" applyFont="1" applyFill="1" applyBorder="1"/>
    <xf numFmtId="8" fontId="0" fillId="0" borderId="1" xfId="0" applyNumberForma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right" indent="2"/>
    </xf>
    <xf numFmtId="0" fontId="14" fillId="0" borderId="1" xfId="0" applyFont="1" applyBorder="1" applyAlignment="1">
      <alignment horizontal="left"/>
    </xf>
    <xf numFmtId="0" fontId="14" fillId="6" borderId="1" xfId="0" applyFont="1" applyFill="1" applyBorder="1" applyAlignment="1">
      <alignment horizontal="left"/>
    </xf>
    <xf numFmtId="168" fontId="5" fillId="6" borderId="1" xfId="0" applyNumberFormat="1" applyFont="1" applyFill="1" applyBorder="1" applyAlignment="1">
      <alignment horizontal="right" indent="2"/>
    </xf>
    <xf numFmtId="0" fontId="11" fillId="3" borderId="1" xfId="0" applyFont="1" applyFill="1" applyBorder="1"/>
    <xf numFmtId="168" fontId="18" fillId="3" borderId="1" xfId="0" applyNumberFormat="1" applyFont="1" applyFill="1" applyBorder="1"/>
    <xf numFmtId="166" fontId="6" fillId="3" borderId="1" xfId="0" applyNumberFormat="1" applyFont="1" applyFill="1" applyBorder="1" applyAlignment="1">
      <alignment wrapText="1"/>
    </xf>
    <xf numFmtId="0" fontId="0" fillId="6" borderId="1" xfId="0" applyFill="1" applyBorder="1"/>
    <xf numFmtId="8" fontId="0" fillId="6" borderId="1" xfId="2" applyNumberFormat="1" applyFont="1" applyFill="1" applyBorder="1"/>
    <xf numFmtId="8" fontId="0" fillId="6" borderId="1" xfId="0" applyNumberFormat="1" applyFill="1" applyBorder="1"/>
    <xf numFmtId="0" fontId="4" fillId="0" borderId="0" xfId="0" applyFont="1" applyAlignment="1">
      <alignment vertical="center" wrapText="1"/>
    </xf>
    <xf numFmtId="4" fontId="22" fillId="0" borderId="0" xfId="0" applyNumberFormat="1" applyFont="1" applyAlignment="1">
      <alignment horizontal="left"/>
    </xf>
    <xf numFmtId="169" fontId="0" fillId="0" borderId="0" xfId="0" applyNumberFormat="1"/>
    <xf numFmtId="0" fontId="10" fillId="0" borderId="0" xfId="0" applyFont="1" applyAlignment="1">
      <alignment horizontal="right"/>
    </xf>
    <xf numFmtId="0" fontId="22" fillId="0" borderId="0" xfId="0" applyFont="1" applyAlignment="1">
      <alignment horizontal="left" vertical="center"/>
    </xf>
    <xf numFmtId="166" fontId="2" fillId="5" borderId="1" xfId="0" applyNumberFormat="1" applyFont="1" applyFill="1" applyBorder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8" fontId="3" fillId="6" borderId="1" xfId="0" applyNumberFormat="1" applyFont="1" applyFill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68" fontId="3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 wrapText="1"/>
    </xf>
    <xf numFmtId="8" fontId="6" fillId="3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25" fillId="2" borderId="0" xfId="4" applyFont="1" applyFill="1"/>
    <xf numFmtId="170" fontId="23" fillId="0" borderId="12" xfId="0" applyNumberFormat="1" applyFont="1" applyBorder="1"/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/>
    </xf>
    <xf numFmtId="0" fontId="9" fillId="0" borderId="1" xfId="1" applyFill="1" applyBorder="1" applyAlignment="1">
      <alignment horizontal="center" vertical="center"/>
    </xf>
    <xf numFmtId="0" fontId="25" fillId="2" borderId="0" xfId="4" applyFont="1" applyFill="1" applyAlignment="1">
      <alignment vertical="center"/>
    </xf>
    <xf numFmtId="0" fontId="0" fillId="0" borderId="0" xfId="0" applyAlignment="1">
      <alignment vertical="center"/>
    </xf>
    <xf numFmtId="17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10" fontId="28" fillId="0" borderId="1" xfId="0" applyNumberFormat="1" applyFont="1" applyBorder="1" applyAlignment="1">
      <alignment horizontal="center" vertical="center" wrapText="1"/>
    </xf>
    <xf numFmtId="171" fontId="28" fillId="0" borderId="1" xfId="0" applyNumberFormat="1" applyFont="1" applyBorder="1" applyAlignment="1">
      <alignment horizontal="center" vertical="center"/>
    </xf>
    <xf numFmtId="9" fontId="28" fillId="0" borderId="1" xfId="3" applyFont="1" applyFill="1" applyBorder="1" applyAlignment="1">
      <alignment horizontal="center" vertical="center"/>
    </xf>
    <xf numFmtId="168" fontId="28" fillId="0" borderId="1" xfId="3" applyNumberFormat="1" applyFont="1" applyFill="1" applyBorder="1" applyAlignment="1">
      <alignment horizontal="center" vertical="center"/>
    </xf>
    <xf numFmtId="164" fontId="28" fillId="0" borderId="1" xfId="3" applyNumberFormat="1" applyFont="1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0" fontId="9" fillId="10" borderId="1" xfId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166" fontId="28" fillId="10" borderId="1" xfId="0" applyNumberFormat="1" applyFont="1" applyFill="1" applyBorder="1" applyAlignment="1">
      <alignment horizontal="center" vertical="center"/>
    </xf>
    <xf numFmtId="8" fontId="28" fillId="10" borderId="1" xfId="3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0" fontId="30" fillId="10" borderId="1" xfId="0" applyNumberFormat="1" applyFont="1" applyFill="1" applyBorder="1" applyAlignment="1">
      <alignment horizontal="center" vertical="center" wrapText="1"/>
    </xf>
    <xf numFmtId="168" fontId="30" fillId="10" borderId="1" xfId="0" applyNumberFormat="1" applyFont="1" applyFill="1" applyBorder="1" applyAlignment="1">
      <alignment horizontal="center" vertical="center"/>
    </xf>
    <xf numFmtId="173" fontId="28" fillId="10" borderId="1" xfId="0" applyNumberFormat="1" applyFont="1" applyFill="1" applyBorder="1" applyAlignment="1">
      <alignment horizontal="center" vertical="center"/>
    </xf>
    <xf numFmtId="9" fontId="30" fillId="10" borderId="1" xfId="0" applyNumberFormat="1" applyFont="1" applyFill="1" applyBorder="1" applyAlignment="1">
      <alignment horizontal="center" vertical="center"/>
    </xf>
    <xf numFmtId="10" fontId="28" fillId="10" borderId="1" xfId="0" applyNumberFormat="1" applyFont="1" applyFill="1" applyBorder="1" applyAlignment="1">
      <alignment horizontal="center" vertical="center" wrapText="1"/>
    </xf>
    <xf numFmtId="10" fontId="28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0" fontId="30" fillId="10" borderId="1" xfId="0" applyNumberFormat="1" applyFont="1" applyFill="1" applyBorder="1" applyAlignment="1">
      <alignment horizontal="center" vertical="center"/>
    </xf>
    <xf numFmtId="14" fontId="28" fillId="10" borderId="1" xfId="0" applyNumberFormat="1" applyFont="1" applyFill="1" applyBorder="1" applyAlignment="1">
      <alignment horizontal="center" vertical="center"/>
    </xf>
    <xf numFmtId="10" fontId="30" fillId="0" borderId="1" xfId="0" applyNumberFormat="1" applyFont="1" applyBorder="1" applyAlignment="1">
      <alignment horizontal="center" vertical="center" wrapText="1"/>
    </xf>
    <xf numFmtId="9" fontId="30" fillId="0" borderId="1" xfId="0" applyNumberFormat="1" applyFont="1" applyBorder="1" applyAlignment="1">
      <alignment horizontal="center" vertical="center"/>
    </xf>
    <xf numFmtId="9" fontId="28" fillId="10" borderId="1" xfId="3" applyFont="1" applyFill="1" applyBorder="1" applyAlignment="1">
      <alignment horizontal="center" vertical="center"/>
    </xf>
    <xf numFmtId="0" fontId="32" fillId="0" borderId="1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5" fillId="0" borderId="0" xfId="0" applyFont="1"/>
    <xf numFmtId="0" fontId="5" fillId="7" borderId="17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9" fillId="10" borderId="1" xfId="1" applyFont="1" applyFill="1" applyBorder="1" applyAlignment="1">
      <alignment horizontal="center" vertical="center"/>
    </xf>
    <xf numFmtId="14" fontId="28" fillId="10" borderId="1" xfId="0" applyNumberFormat="1" applyFont="1" applyFill="1" applyBorder="1" applyAlignment="1">
      <alignment horizontal="center" vertical="center"/>
    </xf>
    <xf numFmtId="0" fontId="9" fillId="0" borderId="1" xfId="1" applyFill="1" applyBorder="1" applyAlignment="1">
      <alignment horizontal="center" vertical="center"/>
    </xf>
    <xf numFmtId="0" fontId="29" fillId="0" borderId="1" xfId="1" applyFont="1" applyFill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9" fillId="10" borderId="1" xfId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10" fontId="28" fillId="10" borderId="1" xfId="0" applyNumberFormat="1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 wrapText="1"/>
    </xf>
    <xf numFmtId="172" fontId="28" fillId="0" borderId="1" xfId="0" applyNumberFormat="1" applyFont="1" applyBorder="1" applyAlignment="1">
      <alignment horizontal="center" vertical="center" wrapText="1"/>
    </xf>
    <xf numFmtId="10" fontId="28" fillId="0" borderId="1" xfId="0" applyNumberFormat="1" applyFont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10" fontId="28" fillId="10" borderId="1" xfId="3" applyNumberFormat="1" applyFont="1" applyFill="1" applyBorder="1" applyAlignment="1">
      <alignment horizontal="center" vertical="center"/>
    </xf>
    <xf numFmtId="166" fontId="28" fillId="10" borderId="1" xfId="0" applyNumberFormat="1" applyFont="1" applyFill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</cellXfs>
  <cellStyles count="5">
    <cellStyle name="Hipervínculo" xfId="1" builtinId="8"/>
    <cellStyle name="Moneda" xfId="2" builtinId="4"/>
    <cellStyle name="Normal" xfId="0" builtinId="0"/>
    <cellStyle name="Normal 2" xfId="4" xr:uid="{45A92CE2-DB98-4060-BA9D-00E3FDC1851A}"/>
    <cellStyle name="Porcentaje" xfId="3" builtinId="5"/>
  </cellStyles>
  <dxfs count="0"/>
  <tableStyles count="0" defaultTableStyle="TableStyleMedium2" defaultPivotStyle="PivotStyleLight16"/>
  <colors>
    <mruColors>
      <color rgb="FFD7E9E6"/>
      <color rgb="FFBEDCD7"/>
      <color rgb="FF73B3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160020</xdr:rowOff>
    </xdr:from>
    <xdr:to>
      <xdr:col>3</xdr:col>
      <xdr:colOff>667628</xdr:colOff>
      <xdr:row>5</xdr:row>
      <xdr:rowOff>3720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72A2DA-26B6-4D79-8B25-244033AE4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160020"/>
          <a:ext cx="2427848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777240</xdr:colOff>
      <xdr:row>0</xdr:row>
      <xdr:rowOff>160020</xdr:rowOff>
    </xdr:from>
    <xdr:to>
      <xdr:col>9</xdr:col>
      <xdr:colOff>756164</xdr:colOff>
      <xdr:row>5</xdr:row>
      <xdr:rowOff>3720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3A5894-786D-4D16-A915-76A1F96C6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8800"/>
                  </a14:imgEffect>
                  <a14:imgEffect>
                    <a14:saturation sat="66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5480" y="160020"/>
          <a:ext cx="2356364" cy="7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7143</xdr:rowOff>
    </xdr:to>
    <xdr:sp macro="" textlink="">
      <xdr:nvSpPr>
        <xdr:cNvPr id="2" name="AutoShape 1" descr="Resultado de imagen para logo minsalud colombia">
          <a:extLst>
            <a:ext uri="{FF2B5EF4-FFF2-40B4-BE49-F238E27FC236}">
              <a16:creationId xmlns:a16="http://schemas.microsoft.com/office/drawing/2014/main" id="{944620F0-7450-4D51-80D2-2948624F5FD9}"/>
            </a:ext>
          </a:extLst>
        </xdr:cNvPr>
        <xdr:cNvSpPr>
          <a:spLocks noChangeAspect="1" noChangeArrowheads="1"/>
        </xdr:cNvSpPr>
      </xdr:nvSpPr>
      <xdr:spPr bwMode="auto">
        <a:xfrm>
          <a:off x="4259580" y="0"/>
          <a:ext cx="304800" cy="30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compranet.hacienda.gob.mx/web/login.html" TargetMode="External"/><Relationship Id="rId18" Type="http://schemas.openxmlformats.org/officeDocument/2006/relationships/hyperlink" Target="https://www.mercadopublico.cl/Portal/Modules/Site/Busquedas/BuscadorAvanzado.aspx?qs=1" TargetMode="External"/><Relationship Id="rId26" Type="http://schemas.openxmlformats.org/officeDocument/2006/relationships/hyperlink" Target="http://base-donnees-publique.medicaments.gouv.fr/" TargetMode="External"/><Relationship Id="rId3" Type="http://schemas.openxmlformats.org/officeDocument/2006/relationships/hyperlink" Target="https://www.pbs.gov.au/info/industry/pricing/ex-manufacturer-price" TargetMode="External"/><Relationship Id="rId21" Type="http://schemas.openxmlformats.org/officeDocument/2006/relationships/hyperlink" Target="https://www.cms.gov/Medicare/Medicare-Fee-for-Service-Part-B-Drugs/McrPartBDrugAvgSalesPrice/2017ASPFiles.html" TargetMode="External"/><Relationship Id="rId34" Type="http://schemas.openxmlformats.org/officeDocument/2006/relationships/drawing" Target="../drawings/drawing2.xml"/><Relationship Id="rId7" Type="http://schemas.openxmlformats.org/officeDocument/2006/relationships/hyperlink" Target="https://www.panamacompra.gob.pa/Inicio/" TargetMode="External"/><Relationship Id="rId12" Type="http://schemas.openxmlformats.org/officeDocument/2006/relationships/hyperlink" Target="https://nppaipdms.gov.in/IMCS/hissso/loginLogin.imcs" TargetMode="External"/><Relationship Id="rId17" Type="http://schemas.openxmlformats.org/officeDocument/2006/relationships/hyperlink" Target="http://www.health.gov.on.ca/en/pro/programs/drugs/odbf/odbf_except_access.aspx" TargetMode="External"/><Relationship Id="rId25" Type="http://schemas.openxmlformats.org/officeDocument/2006/relationships/hyperlink" Target="http://medicprix.sante.gouv.fr/medicprix/welcome.do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blood.gov.au/national-product-price-list" TargetMode="External"/><Relationship Id="rId16" Type="http://schemas.openxmlformats.org/officeDocument/2006/relationships/hyperlink" Target="https://www.formulary.health.gov.on.ca/formulary/" TargetMode="External"/><Relationship Id="rId20" Type="http://schemas.openxmlformats.org/officeDocument/2006/relationships/hyperlink" Target="http://www.salud.gob.ec/consejo-nacional-de-fijacion-y-revision-de-precios-de-medicamentos/" TargetMode="External"/><Relationship Id="rId29" Type="http://schemas.openxmlformats.org/officeDocument/2006/relationships/hyperlink" Target="http://prodapp2.seace.gob.pe/seacebus-uiwd-pub/buscadorPublico/buscadorPublico.xhtml" TargetMode="External"/><Relationship Id="rId1" Type="http://schemas.openxmlformats.org/officeDocument/2006/relationships/hyperlink" Target="https://www.bfarm.de/DE/Arzneimittel/Arzneimittelinformationen/Festbetraege-und-Zuzahlungen/Festbetraege/_node.html" TargetMode="External"/><Relationship Id="rId6" Type="http://schemas.openxmlformats.org/officeDocument/2006/relationships/hyperlink" Target="https://www.dmp.no/en/public-funding-and-pricing-of-medicines/pricing-of-medicines/maximum-price" TargetMode="External"/><Relationship Id="rId11" Type="http://schemas.openxmlformats.org/officeDocument/2006/relationships/hyperlink" Target="https://www.health.gov.za/nhi-pee/" TargetMode="External"/><Relationship Id="rId24" Type="http://schemas.openxmlformats.org/officeDocument/2006/relationships/hyperlink" Target="http://www.codage.ext.cnamts.fr/codif/bdm_it/index.php?p_site" TargetMode="External"/><Relationship Id="rId32" Type="http://schemas.openxmlformats.org/officeDocument/2006/relationships/hyperlink" Target="http://www.nhsbsa.nhs.uk/PrescriptionServices/4940.aspx" TargetMode="External"/><Relationship Id="rId5" Type="http://schemas.openxmlformats.org/officeDocument/2006/relationships/hyperlink" Target="https://www.ramq.gouv.qc.ca/en/about-us/list-medications" TargetMode="External"/><Relationship Id="rId15" Type="http://schemas.openxmlformats.org/officeDocument/2006/relationships/hyperlink" Target="http://bps.saude.gov.br/login.jsf" TargetMode="External"/><Relationship Id="rId23" Type="http://schemas.openxmlformats.org/officeDocument/2006/relationships/hyperlink" Target="https://www.medicaid.gov/medicaid/prescription-drugs/retail-price-survey/index.html" TargetMode="External"/><Relationship Id="rId28" Type="http://schemas.openxmlformats.org/officeDocument/2006/relationships/hyperlink" Target="http://observatorio.digemid.minsa.gob.pe/" TargetMode="External"/><Relationship Id="rId10" Type="http://schemas.openxmlformats.org/officeDocument/2006/relationships/hyperlink" Target="https://www.aifa.gov.it/liste-farmaci-a-h" TargetMode="External"/><Relationship Id="rId19" Type="http://schemas.openxmlformats.org/officeDocument/2006/relationships/hyperlink" Target="https://www.compraspublicas.gob.ec/ProcesoContratacion/compras/PC/buscarProceso.cpe?sg=1" TargetMode="External"/><Relationship Id="rId31" Type="http://schemas.openxmlformats.org/officeDocument/2006/relationships/hyperlink" Target="https://www.nice.org.uk/" TargetMode="External"/><Relationship Id="rId4" Type="http://schemas.openxmlformats.org/officeDocument/2006/relationships/hyperlink" Target="https://www.gov.br/anvisa/pt-br/assuntos/medicamentos/cmed/precos" TargetMode="External"/><Relationship Id="rId9" Type="http://schemas.openxmlformats.org/officeDocument/2006/relationships/hyperlink" Target="https://www.moh.gov.gr/articles/times-farmakwn/deltia-timwn" TargetMode="External"/><Relationship Id="rId14" Type="http://schemas.openxmlformats.org/officeDocument/2006/relationships/hyperlink" Target="https://boe.es/buscar/doc.php?id=BOE-A-2023-22303" TargetMode="External"/><Relationship Id="rId22" Type="http://schemas.openxmlformats.org/officeDocument/2006/relationships/hyperlink" Target="https://www.va.gov/oal/business/fss/pharmPrices.asp" TargetMode="External"/><Relationship Id="rId27" Type="http://schemas.openxmlformats.org/officeDocument/2006/relationships/hyperlink" Target="http://compras.imss.gob.mx/?P=search_alt" TargetMode="External"/><Relationship Id="rId30" Type="http://schemas.openxmlformats.org/officeDocument/2006/relationships/hyperlink" Target="http://app7.infarmed.pt/infomed/inicio.php" TargetMode="External"/><Relationship Id="rId8" Type="http://schemas.openxmlformats.org/officeDocument/2006/relationships/hyperlink" Target="https://dmd-browser.nhsbsa.nhs.uk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egifrance.gouv.fr/affichTexte.do?cidTexte=JORFTEXT000000843609" TargetMode="External"/><Relationship Id="rId2" Type="http://schemas.openxmlformats.org/officeDocument/2006/relationships/hyperlink" Target="http://www.boe.es/buscar/act.php?id=BOE-A-2008-9291" TargetMode="External"/><Relationship Id="rId1" Type="http://schemas.openxmlformats.org/officeDocument/2006/relationships/hyperlink" Target="http://www.humanservices.gov.au/health-professionals/enablers/pricing-of-pbs-medicine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haiweb.org/wp-content/uploads/2015/07/Working-Paper-3-Regulation-of-Mark-up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BD56-1490-4733-A851-CBAE67CE8F0C}">
  <dimension ref="B7:J21"/>
  <sheetViews>
    <sheetView showGridLines="0" tabSelected="1" workbookViewId="0">
      <selection activeCell="B22" sqref="B22"/>
    </sheetView>
  </sheetViews>
  <sheetFormatPr baseColWidth="10" defaultColWidth="11.5546875" defaultRowHeight="13.8" x14ac:dyDescent="0.25"/>
  <cols>
    <col min="1" max="2" width="11.5546875" style="12"/>
    <col min="3" max="3" width="14.6640625" style="12" bestFit="1" customWidth="1"/>
    <col min="4" max="16384" width="11.5546875" style="12"/>
  </cols>
  <sheetData>
    <row r="7" spans="2:10" ht="48" customHeight="1" x14ac:dyDescent="0.25">
      <c r="B7" s="131" t="s">
        <v>114</v>
      </c>
      <c r="C7" s="132"/>
      <c r="D7" s="132"/>
      <c r="E7" s="132"/>
      <c r="F7" s="132"/>
      <c r="G7" s="132"/>
      <c r="H7" s="132"/>
      <c r="I7" s="132"/>
      <c r="J7" s="133"/>
    </row>
    <row r="8" spans="2:10" ht="22.2" customHeight="1" thickBot="1" x14ac:dyDescent="0.3">
      <c r="B8" s="25"/>
      <c r="C8" s="33"/>
      <c r="D8" s="26"/>
      <c r="E8" s="26"/>
      <c r="F8" s="26"/>
      <c r="G8" s="26"/>
      <c r="H8" s="26"/>
      <c r="I8" s="26"/>
      <c r="J8" s="27"/>
    </row>
    <row r="9" spans="2:10" ht="22.2" customHeight="1" thickTop="1" thickBot="1" x14ac:dyDescent="0.4">
      <c r="B9" s="28"/>
      <c r="C9" s="38" t="s">
        <v>115</v>
      </c>
      <c r="D9" s="134" t="s">
        <v>118</v>
      </c>
      <c r="E9" s="134"/>
      <c r="F9" s="134"/>
      <c r="G9" s="134"/>
      <c r="H9" s="134"/>
      <c r="I9" s="134"/>
      <c r="J9" s="135"/>
    </row>
    <row r="10" spans="2:10" ht="22.2" customHeight="1" thickTop="1" thickBot="1" x14ac:dyDescent="0.4">
      <c r="B10" s="28"/>
      <c r="C10" s="39"/>
      <c r="D10" s="34"/>
      <c r="E10" s="34"/>
      <c r="F10" s="34"/>
      <c r="G10" s="34"/>
      <c r="H10" s="34"/>
      <c r="I10" s="34"/>
      <c r="J10" s="35"/>
    </row>
    <row r="11" spans="2:10" ht="22.2" customHeight="1" thickTop="1" thickBot="1" x14ac:dyDescent="0.4">
      <c r="B11" s="28"/>
      <c r="C11" s="38" t="s">
        <v>116</v>
      </c>
      <c r="D11" s="134" t="s">
        <v>100</v>
      </c>
      <c r="E11" s="134"/>
      <c r="F11" s="134"/>
      <c r="G11" s="134"/>
      <c r="H11" s="134"/>
      <c r="I11" s="134"/>
      <c r="J11" s="135"/>
    </row>
    <row r="12" spans="2:10" ht="22.2" customHeight="1" thickTop="1" thickBot="1" x14ac:dyDescent="0.4">
      <c r="B12" s="28"/>
      <c r="C12" s="39"/>
      <c r="D12" s="34"/>
      <c r="E12" s="34"/>
      <c r="F12" s="34"/>
      <c r="G12" s="34"/>
      <c r="H12" s="34"/>
      <c r="I12" s="34"/>
      <c r="J12" s="35"/>
    </row>
    <row r="13" spans="2:10" ht="22.2" customHeight="1" thickTop="1" thickBot="1" x14ac:dyDescent="0.4">
      <c r="B13" s="28"/>
      <c r="C13" s="38" t="s">
        <v>117</v>
      </c>
      <c r="D13" s="134" t="s">
        <v>123</v>
      </c>
      <c r="E13" s="134"/>
      <c r="F13" s="134"/>
      <c r="G13" s="134"/>
      <c r="H13" s="134"/>
      <c r="I13" s="134"/>
      <c r="J13" s="135"/>
    </row>
    <row r="14" spans="2:10" ht="22.2" customHeight="1" thickTop="1" thickBot="1" x14ac:dyDescent="0.3">
      <c r="B14" s="29"/>
      <c r="C14" s="40"/>
      <c r="D14" s="36"/>
      <c r="E14" s="36"/>
      <c r="F14" s="36"/>
      <c r="G14" s="36"/>
      <c r="H14" s="36"/>
      <c r="I14" s="36"/>
      <c r="J14" s="37"/>
    </row>
    <row r="15" spans="2:10" ht="22.2" customHeight="1" thickTop="1" thickBot="1" x14ac:dyDescent="0.3">
      <c r="B15" s="29"/>
      <c r="C15" s="38" t="s">
        <v>105</v>
      </c>
      <c r="D15" s="134" t="s">
        <v>122</v>
      </c>
      <c r="E15" s="134"/>
      <c r="F15" s="134"/>
      <c r="G15" s="134"/>
      <c r="H15" s="134"/>
      <c r="I15" s="134"/>
      <c r="J15" s="135"/>
    </row>
    <row r="16" spans="2:10" ht="22.2" customHeight="1" thickTop="1" thickBot="1" x14ac:dyDescent="0.3">
      <c r="B16" s="29"/>
      <c r="C16" s="34"/>
      <c r="D16" s="34"/>
      <c r="E16" s="34"/>
      <c r="F16" s="34"/>
      <c r="G16" s="34"/>
      <c r="H16" s="34"/>
      <c r="I16" s="34"/>
      <c r="J16" s="35"/>
    </row>
    <row r="17" spans="2:10" ht="22.2" customHeight="1" thickTop="1" thickBot="1" x14ac:dyDescent="0.3">
      <c r="B17" s="29"/>
      <c r="C17" s="38" t="s">
        <v>395</v>
      </c>
      <c r="D17" s="128" t="s">
        <v>242</v>
      </c>
      <c r="E17" s="129"/>
      <c r="F17" s="129"/>
      <c r="G17" s="129"/>
      <c r="H17" s="129"/>
      <c r="I17" s="129"/>
      <c r="J17" s="130"/>
    </row>
    <row r="18" spans="2:10" ht="22.2" customHeight="1" thickTop="1" thickBot="1" x14ac:dyDescent="0.3">
      <c r="B18" s="29"/>
      <c r="C18" s="34"/>
      <c r="D18" s="34"/>
      <c r="E18" s="34"/>
      <c r="F18" s="34"/>
      <c r="G18" s="34"/>
      <c r="H18" s="34"/>
      <c r="I18" s="34"/>
      <c r="J18" s="35"/>
    </row>
    <row r="19" spans="2:10" ht="22.2" customHeight="1" thickTop="1" thickBot="1" x14ac:dyDescent="0.3">
      <c r="B19" s="29"/>
      <c r="C19" s="38" t="s">
        <v>396</v>
      </c>
      <c r="D19" s="128" t="s">
        <v>290</v>
      </c>
      <c r="E19" s="129"/>
      <c r="F19" s="129"/>
      <c r="G19" s="129"/>
      <c r="H19" s="129"/>
      <c r="I19" s="129"/>
      <c r="J19" s="130"/>
    </row>
    <row r="20" spans="2:10" ht="22.2" customHeight="1" thickTop="1" x14ac:dyDescent="0.25">
      <c r="B20" s="30"/>
      <c r="C20" s="31"/>
      <c r="D20" s="31"/>
      <c r="E20" s="31"/>
      <c r="F20" s="31"/>
      <c r="G20" s="31"/>
      <c r="H20" s="31"/>
      <c r="I20" s="31"/>
      <c r="J20" s="32"/>
    </row>
    <row r="21" spans="2:10" x14ac:dyDescent="0.25">
      <c r="B21" s="13" t="s">
        <v>397</v>
      </c>
    </row>
  </sheetData>
  <mergeCells count="7">
    <mergeCell ref="D17:J17"/>
    <mergeCell ref="D19:J19"/>
    <mergeCell ref="B7:J7"/>
    <mergeCell ref="D9:J9"/>
    <mergeCell ref="D11:J11"/>
    <mergeCell ref="D13:J13"/>
    <mergeCell ref="D15:J15"/>
  </mergeCells>
  <hyperlinks>
    <hyperlink ref="C9" location="PRECIOS!A1" display="PRECIOS" xr:uid="{C1C75261-B0F4-4229-99A8-D5B409390077}"/>
    <hyperlink ref="C11" location="MRI!A1" display="MRI" xr:uid="{79A565E1-A860-43FC-9A32-94FFCE00DDF1}"/>
    <hyperlink ref="C13" location="TC!A1" display="TC" xr:uid="{A8A61AE0-12A9-439C-8E7E-93160769053A}"/>
    <hyperlink ref="C15" location="PRI!A1" display="PRI" xr:uid="{9ABDD9CC-6C34-4A3A-8912-69AC8F569B1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1CD6-7601-4162-A580-58415CAF0440}">
  <dimension ref="A1:R556"/>
  <sheetViews>
    <sheetView showGridLines="0" topLeftCell="C1" zoomScale="80" zoomScaleNormal="80" zoomScaleSheetLayoutView="110" workbookViewId="0">
      <selection activeCell="G1" sqref="G1"/>
    </sheetView>
  </sheetViews>
  <sheetFormatPr baseColWidth="10" defaultRowHeight="14.4" x14ac:dyDescent="0.3"/>
  <cols>
    <col min="3" max="3" width="15.21875" customWidth="1"/>
    <col min="5" max="5" width="71" customWidth="1"/>
    <col min="6" max="6" width="12.6640625" bestFit="1" customWidth="1"/>
    <col min="8" max="8" width="16.33203125" bestFit="1" customWidth="1"/>
    <col min="11" max="11" width="15.109375" customWidth="1"/>
  </cols>
  <sheetData>
    <row r="1" spans="1:18" ht="55.2" x14ac:dyDescent="0.3">
      <c r="A1" s="19" t="s">
        <v>109</v>
      </c>
      <c r="B1" s="19" t="s">
        <v>0</v>
      </c>
      <c r="C1" s="19" t="s">
        <v>187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110</v>
      </c>
      <c r="J1" s="19" t="s">
        <v>6</v>
      </c>
      <c r="K1" s="41" t="s">
        <v>119</v>
      </c>
      <c r="L1" s="14" t="s">
        <v>89</v>
      </c>
      <c r="M1" s="14" t="s">
        <v>111</v>
      </c>
      <c r="N1" s="19" t="s">
        <v>120</v>
      </c>
      <c r="O1" s="19" t="s">
        <v>121</v>
      </c>
      <c r="P1" s="19" t="s">
        <v>112</v>
      </c>
      <c r="Q1" s="19" t="s">
        <v>113</v>
      </c>
      <c r="R1" s="19" t="s">
        <v>145</v>
      </c>
    </row>
    <row r="2" spans="1:18" x14ac:dyDescent="0.3">
      <c r="A2" s="42">
        <v>1</v>
      </c>
      <c r="B2" s="42">
        <v>655</v>
      </c>
      <c r="C2" s="42" t="s">
        <v>209</v>
      </c>
      <c r="D2" s="42" t="s">
        <v>179</v>
      </c>
      <c r="E2" s="42" t="s">
        <v>140</v>
      </c>
      <c r="F2" s="42" t="s">
        <v>9</v>
      </c>
      <c r="G2" s="42" t="s">
        <v>53</v>
      </c>
      <c r="H2" s="42" t="s">
        <v>13</v>
      </c>
      <c r="I2" s="42">
        <v>2</v>
      </c>
      <c r="J2" s="42" t="s">
        <v>12</v>
      </c>
      <c r="K2" s="43">
        <v>1452.211</v>
      </c>
      <c r="L2" s="42">
        <v>10000</v>
      </c>
      <c r="M2" s="42" t="s">
        <v>185</v>
      </c>
      <c r="N2" s="44">
        <f>+K2/L2</f>
        <v>0.14522109999999999</v>
      </c>
      <c r="O2" s="44">
        <f>+VLOOKUP(J2,TC!$B$6:$C$17,2,0)*PRECIOS!N2</f>
        <v>122.40243932869907</v>
      </c>
      <c r="P2" s="42" t="str">
        <f>IF(_xlfn.MINIFS($I:$I,$F:$F,F2,$E:$E,E2)=I2,"Si","No")</f>
        <v>Si</v>
      </c>
      <c r="Q2" s="44">
        <f>+IF(I2=1,O2,IF(I2=2,O2/(1+MRI!$C$18),(O2/(1+MRI!$D$18))/(1+MRI!$C$18)))</f>
        <v>111.71265533928307</v>
      </c>
      <c r="R2" s="44">
        <f>+IF(P2="Si",Q2,"")</f>
        <v>111.71265533928307</v>
      </c>
    </row>
    <row r="3" spans="1:18" x14ac:dyDescent="0.3">
      <c r="A3" s="55">
        <v>2</v>
      </c>
      <c r="B3" s="55">
        <v>655</v>
      </c>
      <c r="C3" s="55" t="s">
        <v>209</v>
      </c>
      <c r="D3" s="55" t="s">
        <v>179</v>
      </c>
      <c r="E3" s="55" t="s">
        <v>139</v>
      </c>
      <c r="F3" s="55" t="s">
        <v>9</v>
      </c>
      <c r="G3" s="55" t="s">
        <v>53</v>
      </c>
      <c r="H3" s="55" t="s">
        <v>13</v>
      </c>
      <c r="I3" s="55">
        <v>2</v>
      </c>
      <c r="J3" s="55" t="s">
        <v>12</v>
      </c>
      <c r="K3" s="56">
        <v>1452.211</v>
      </c>
      <c r="L3" s="55">
        <v>10000</v>
      </c>
      <c r="M3" s="55" t="s">
        <v>185</v>
      </c>
      <c r="N3" s="57">
        <f t="shared" ref="N3:N66" si="0">+K3/L3</f>
        <v>0.14522109999999999</v>
      </c>
      <c r="O3" s="57">
        <f>+VLOOKUP(J3,TC!$B$6:$C$17,2,0)*PRECIOS!N3</f>
        <v>122.40243932869907</v>
      </c>
      <c r="P3" s="55" t="str">
        <f t="shared" ref="P3:P66" si="1">IF(_xlfn.MINIFS($I:$I,$F:$F,F3,$E:$E,E3)=I3,"Si","No")</f>
        <v>Si</v>
      </c>
      <c r="Q3" s="57">
        <f>+IF(I3=1,O3,IF(I3=2,O3/(1+MRI!$C$18),(O3/(1+MRI!$D$18))/(1+MRI!$C$18)))</f>
        <v>111.71265533928307</v>
      </c>
      <c r="R3" s="57">
        <f t="shared" ref="R3:R66" si="2">+IF(P3="Si",Q3,"")</f>
        <v>111.71265533928307</v>
      </c>
    </row>
    <row r="4" spans="1:18" x14ac:dyDescent="0.3">
      <c r="A4" s="42">
        <v>3</v>
      </c>
      <c r="B4" s="42">
        <v>655</v>
      </c>
      <c r="C4" s="42" t="s">
        <v>209</v>
      </c>
      <c r="D4" s="42" t="s">
        <v>179</v>
      </c>
      <c r="E4" s="42" t="s">
        <v>138</v>
      </c>
      <c r="F4" s="42" t="s">
        <v>9</v>
      </c>
      <c r="G4" s="42" t="s">
        <v>10</v>
      </c>
      <c r="H4" s="42" t="s">
        <v>11</v>
      </c>
      <c r="I4" s="42">
        <v>1</v>
      </c>
      <c r="J4" s="42" t="s">
        <v>12</v>
      </c>
      <c r="K4" s="43">
        <v>1613.46</v>
      </c>
      <c r="L4" s="42">
        <v>10000</v>
      </c>
      <c r="M4" s="42" t="s">
        <v>185</v>
      </c>
      <c r="N4" s="44">
        <f t="shared" si="0"/>
        <v>0.16134600000000002</v>
      </c>
      <c r="O4" s="44">
        <f>+VLOOKUP(J4,TC!$B$6:$C$17,2,0)*PRECIOS!N4</f>
        <v>135.99362610480352</v>
      </c>
      <c r="P4" s="42" t="str">
        <f t="shared" si="1"/>
        <v>Si</v>
      </c>
      <c r="Q4" s="44">
        <f>+IF(I4=1,O4,IF(I4=2,O4/(1+MRI!$C$18),(O4/(1+MRI!$D$18))/(1+MRI!$C$18)))</f>
        <v>135.99362610480352</v>
      </c>
      <c r="R4" s="44">
        <f t="shared" si="2"/>
        <v>135.99362610480352</v>
      </c>
    </row>
    <row r="5" spans="1:18" x14ac:dyDescent="0.3">
      <c r="A5" s="55">
        <v>4</v>
      </c>
      <c r="B5" s="55">
        <v>655</v>
      </c>
      <c r="C5" s="55" t="s">
        <v>209</v>
      </c>
      <c r="D5" s="55" t="s">
        <v>179</v>
      </c>
      <c r="E5" s="55" t="s">
        <v>138</v>
      </c>
      <c r="F5" s="55" t="s">
        <v>9</v>
      </c>
      <c r="G5" s="55" t="s">
        <v>10</v>
      </c>
      <c r="H5" s="55" t="s">
        <v>13</v>
      </c>
      <c r="I5" s="55">
        <v>2</v>
      </c>
      <c r="J5" s="55" t="s">
        <v>12</v>
      </c>
      <c r="K5" s="56">
        <v>1266.08</v>
      </c>
      <c r="L5" s="55">
        <v>10000</v>
      </c>
      <c r="M5" s="55" t="s">
        <v>185</v>
      </c>
      <c r="N5" s="57">
        <f t="shared" si="0"/>
        <v>0.126608</v>
      </c>
      <c r="O5" s="57">
        <f>+VLOOKUP(J5,TC!$B$6:$C$17,2,0)*PRECIOS!N5</f>
        <v>106.71402460474361</v>
      </c>
      <c r="P5" s="55" t="str">
        <f t="shared" si="1"/>
        <v>No</v>
      </c>
      <c r="Q5" s="57">
        <f>+IF(I5=1,O5,IF(I5=2,O5/(1+MRI!$C$18),(O5/(1+MRI!$D$18))/(1+MRI!$C$18)))</f>
        <v>97.3943584451292</v>
      </c>
      <c r="R5" s="57" t="str">
        <f t="shared" si="2"/>
        <v/>
      </c>
    </row>
    <row r="6" spans="1:18" x14ac:dyDescent="0.3">
      <c r="A6" s="42">
        <v>5</v>
      </c>
      <c r="B6" s="42">
        <v>655</v>
      </c>
      <c r="C6" s="42" t="s">
        <v>210</v>
      </c>
      <c r="D6" s="42" t="s">
        <v>179</v>
      </c>
      <c r="E6" s="42" t="s">
        <v>138</v>
      </c>
      <c r="F6" s="42" t="s">
        <v>15</v>
      </c>
      <c r="G6" s="42" t="s">
        <v>16</v>
      </c>
      <c r="H6" s="42" t="s">
        <v>13</v>
      </c>
      <c r="I6" s="42">
        <v>2</v>
      </c>
      <c r="J6" s="42" t="s">
        <v>17</v>
      </c>
      <c r="K6" s="43">
        <v>252000</v>
      </c>
      <c r="L6" s="42">
        <v>10000</v>
      </c>
      <c r="M6" s="42" t="s">
        <v>185</v>
      </c>
      <c r="N6" s="44">
        <f t="shared" si="0"/>
        <v>25.2</v>
      </c>
      <c r="O6" s="44">
        <f>+VLOOKUP(J6,TC!$B$6:$C$17,2,0)*PRECIOS!N6</f>
        <v>126.6484582198356</v>
      </c>
      <c r="P6" s="42" t="str">
        <f t="shared" si="1"/>
        <v>Si</v>
      </c>
      <c r="Q6" s="44">
        <f>+IF(I6=1,O6,IF(I6=2,O6/(1+MRI!$C$18),(O6/(1+MRI!$D$18))/(1+MRI!$C$18)))</f>
        <v>115.58785625481258</v>
      </c>
      <c r="R6" s="44">
        <f t="shared" si="2"/>
        <v>115.58785625481258</v>
      </c>
    </row>
    <row r="7" spans="1:18" x14ac:dyDescent="0.3">
      <c r="A7" s="55">
        <v>6</v>
      </c>
      <c r="B7" s="55">
        <v>655</v>
      </c>
      <c r="C7" s="55" t="s">
        <v>211</v>
      </c>
      <c r="D7" s="55" t="s">
        <v>179</v>
      </c>
      <c r="E7" s="55" t="s">
        <v>140</v>
      </c>
      <c r="F7" s="55" t="s">
        <v>97</v>
      </c>
      <c r="G7" s="55" t="s">
        <v>135</v>
      </c>
      <c r="H7" s="55" t="s">
        <v>20</v>
      </c>
      <c r="I7" s="55">
        <v>3</v>
      </c>
      <c r="J7" s="55" t="s">
        <v>25</v>
      </c>
      <c r="K7" s="56">
        <v>77.14</v>
      </c>
      <c r="L7" s="55">
        <v>10000</v>
      </c>
      <c r="M7" s="55" t="s">
        <v>185</v>
      </c>
      <c r="N7" s="57">
        <f t="shared" si="0"/>
        <v>7.7140000000000004E-3</v>
      </c>
      <c r="O7" s="57">
        <f>+VLOOKUP(J7,TC!$B$6:$C$17,2,0)*PRECIOS!N7</f>
        <v>33.105636051154569</v>
      </c>
      <c r="P7" s="55" t="str">
        <f t="shared" si="1"/>
        <v>No</v>
      </c>
      <c r="Q7" s="57">
        <f>+IF(I7=1,O7,IF(I7=2,O7/(1+MRI!$C$18),(O7/(1+MRI!$D$18))/(1+MRI!$C$18)))</f>
        <v>25.308253701370571</v>
      </c>
      <c r="R7" s="57" t="str">
        <f t="shared" si="2"/>
        <v/>
      </c>
    </row>
    <row r="8" spans="1:18" x14ac:dyDescent="0.3">
      <c r="A8" s="42">
        <v>7</v>
      </c>
      <c r="B8" s="42">
        <v>655</v>
      </c>
      <c r="C8" s="42" t="s">
        <v>211</v>
      </c>
      <c r="D8" s="42" t="s">
        <v>179</v>
      </c>
      <c r="E8" s="42" t="s">
        <v>140</v>
      </c>
      <c r="F8" s="42" t="s">
        <v>97</v>
      </c>
      <c r="G8" s="42" t="s">
        <v>134</v>
      </c>
      <c r="H8" s="42" t="s">
        <v>13</v>
      </c>
      <c r="I8" s="42">
        <v>2</v>
      </c>
      <c r="J8" s="42" t="s">
        <v>25</v>
      </c>
      <c r="K8" s="43">
        <v>59.19</v>
      </c>
      <c r="L8" s="42">
        <v>10000</v>
      </c>
      <c r="M8" s="42" t="s">
        <v>185</v>
      </c>
      <c r="N8" s="44">
        <f t="shared" si="0"/>
        <v>5.9189999999999998E-3</v>
      </c>
      <c r="O8" s="44">
        <f>+VLOOKUP(J8,TC!$B$6:$C$17,2,0)*PRECIOS!N8</f>
        <v>25.402159681978727</v>
      </c>
      <c r="P8" s="42" t="str">
        <f t="shared" si="1"/>
        <v>Si</v>
      </c>
      <c r="Q8" s="44">
        <f>+IF(I8=1,O8,IF(I8=2,O8/(1+MRI!$C$18),(O8/(1+MRI!$D$18))/(1+MRI!$C$18)))</f>
        <v>23.183710430850628</v>
      </c>
      <c r="R8" s="44">
        <f t="shared" si="2"/>
        <v>23.183710430850628</v>
      </c>
    </row>
    <row r="9" spans="1:18" x14ac:dyDescent="0.3">
      <c r="A9" s="55">
        <v>8</v>
      </c>
      <c r="B9" s="55">
        <v>655</v>
      </c>
      <c r="C9" s="55" t="s">
        <v>211</v>
      </c>
      <c r="D9" s="55" t="s">
        <v>179</v>
      </c>
      <c r="E9" s="55" t="s">
        <v>139</v>
      </c>
      <c r="F9" s="55" t="s">
        <v>97</v>
      </c>
      <c r="G9" s="55" t="s">
        <v>135</v>
      </c>
      <c r="H9" s="55" t="s">
        <v>20</v>
      </c>
      <c r="I9" s="55">
        <v>3</v>
      </c>
      <c r="J9" s="55" t="s">
        <v>25</v>
      </c>
      <c r="K9" s="56">
        <v>77.14</v>
      </c>
      <c r="L9" s="55">
        <v>10000</v>
      </c>
      <c r="M9" s="55" t="s">
        <v>185</v>
      </c>
      <c r="N9" s="57">
        <f t="shared" si="0"/>
        <v>7.7140000000000004E-3</v>
      </c>
      <c r="O9" s="57">
        <f>+VLOOKUP(J9,TC!$B$6:$C$17,2,0)*PRECIOS!N9</f>
        <v>33.105636051154569</v>
      </c>
      <c r="P9" s="55" t="str">
        <f t="shared" si="1"/>
        <v>No</v>
      </c>
      <c r="Q9" s="57">
        <f>+IF(I9=1,O9,IF(I9=2,O9/(1+MRI!$C$18),(O9/(1+MRI!$D$18))/(1+MRI!$C$18)))</f>
        <v>25.308253701370571</v>
      </c>
      <c r="R9" s="57" t="str">
        <f t="shared" si="2"/>
        <v/>
      </c>
    </row>
    <row r="10" spans="1:18" x14ac:dyDescent="0.3">
      <c r="A10" s="42">
        <v>9</v>
      </c>
      <c r="B10" s="42">
        <v>655</v>
      </c>
      <c r="C10" s="42" t="s">
        <v>211</v>
      </c>
      <c r="D10" s="42" t="s">
        <v>179</v>
      </c>
      <c r="E10" s="42" t="s">
        <v>139</v>
      </c>
      <c r="F10" s="42" t="s">
        <v>97</v>
      </c>
      <c r="G10" s="42" t="s">
        <v>134</v>
      </c>
      <c r="H10" s="42" t="s">
        <v>13</v>
      </c>
      <c r="I10" s="42">
        <v>2</v>
      </c>
      <c r="J10" s="42" t="s">
        <v>25</v>
      </c>
      <c r="K10" s="43">
        <v>59.19</v>
      </c>
      <c r="L10" s="42">
        <v>10000</v>
      </c>
      <c r="M10" s="42" t="s">
        <v>185</v>
      </c>
      <c r="N10" s="44">
        <f t="shared" si="0"/>
        <v>5.9189999999999998E-3</v>
      </c>
      <c r="O10" s="44">
        <f>+VLOOKUP(J10,TC!$B$6:$C$17,2,0)*PRECIOS!N10</f>
        <v>25.402159681978727</v>
      </c>
      <c r="P10" s="42" t="str">
        <f t="shared" si="1"/>
        <v>Si</v>
      </c>
      <c r="Q10" s="44">
        <f>+IF(I10=1,O10,IF(I10=2,O10/(1+MRI!$C$18),(O10/(1+MRI!$D$18))/(1+MRI!$C$18)))</f>
        <v>23.183710430850628</v>
      </c>
      <c r="R10" s="44">
        <f t="shared" si="2"/>
        <v>23.183710430850628</v>
      </c>
    </row>
    <row r="11" spans="1:18" x14ac:dyDescent="0.3">
      <c r="A11" s="55">
        <v>10</v>
      </c>
      <c r="B11" s="55">
        <v>655</v>
      </c>
      <c r="C11" s="55" t="s">
        <v>211</v>
      </c>
      <c r="D11" s="55" t="s">
        <v>179</v>
      </c>
      <c r="E11" s="55" t="s">
        <v>137</v>
      </c>
      <c r="F11" s="55" t="s">
        <v>97</v>
      </c>
      <c r="G11" s="55" t="s">
        <v>135</v>
      </c>
      <c r="H11" s="55" t="s">
        <v>20</v>
      </c>
      <c r="I11" s="55">
        <v>3</v>
      </c>
      <c r="J11" s="55" t="s">
        <v>25</v>
      </c>
      <c r="K11" s="56">
        <v>77.14</v>
      </c>
      <c r="L11" s="55">
        <v>10000</v>
      </c>
      <c r="M11" s="55" t="s">
        <v>185</v>
      </c>
      <c r="N11" s="57">
        <f t="shared" si="0"/>
        <v>7.7140000000000004E-3</v>
      </c>
      <c r="O11" s="57">
        <f>+VLOOKUP(J11,TC!$B$6:$C$17,2,0)*PRECIOS!N11</f>
        <v>33.105636051154569</v>
      </c>
      <c r="P11" s="55" t="str">
        <f t="shared" si="1"/>
        <v>Si</v>
      </c>
      <c r="Q11" s="57">
        <f>+IF(I11=1,O11,IF(I11=2,O11/(1+MRI!$C$18),(O11/(1+MRI!$D$18))/(1+MRI!$C$18)))</f>
        <v>25.308253701370571</v>
      </c>
      <c r="R11" s="57">
        <f t="shared" si="2"/>
        <v>25.308253701370571</v>
      </c>
    </row>
    <row r="12" spans="1:18" x14ac:dyDescent="0.3">
      <c r="A12" s="42">
        <v>11</v>
      </c>
      <c r="B12" s="42">
        <v>655</v>
      </c>
      <c r="C12" s="42" t="s">
        <v>211</v>
      </c>
      <c r="D12" s="42" t="s">
        <v>179</v>
      </c>
      <c r="E12" s="42" t="s">
        <v>138</v>
      </c>
      <c r="F12" s="42" t="s">
        <v>97</v>
      </c>
      <c r="G12" s="42" t="s">
        <v>135</v>
      </c>
      <c r="H12" s="42" t="s">
        <v>20</v>
      </c>
      <c r="I12" s="42">
        <v>3</v>
      </c>
      <c r="J12" s="42" t="s">
        <v>25</v>
      </c>
      <c r="K12" s="43">
        <v>77.14</v>
      </c>
      <c r="L12" s="42">
        <v>10000</v>
      </c>
      <c r="M12" s="42" t="s">
        <v>185</v>
      </c>
      <c r="N12" s="44">
        <f t="shared" si="0"/>
        <v>7.7140000000000004E-3</v>
      </c>
      <c r="O12" s="44">
        <f>+VLOOKUP(J12,TC!$B$6:$C$17,2,0)*PRECIOS!N12</f>
        <v>33.105636051154569</v>
      </c>
      <c r="P12" s="42" t="str">
        <f t="shared" si="1"/>
        <v>Si</v>
      </c>
      <c r="Q12" s="44">
        <f>+IF(I12=1,O12,IF(I12=2,O12/(1+MRI!$C$18),(O12/(1+MRI!$D$18))/(1+MRI!$C$18)))</f>
        <v>25.308253701370571</v>
      </c>
      <c r="R12" s="44">
        <f t="shared" si="2"/>
        <v>25.308253701370571</v>
      </c>
    </row>
    <row r="13" spans="1:18" x14ac:dyDescent="0.3">
      <c r="A13" s="55">
        <v>12</v>
      </c>
      <c r="B13" s="55">
        <v>655</v>
      </c>
      <c r="C13" s="55" t="s">
        <v>212</v>
      </c>
      <c r="D13" s="55" t="s">
        <v>179</v>
      </c>
      <c r="E13" s="55" t="s">
        <v>138</v>
      </c>
      <c r="F13" s="55" t="s">
        <v>106</v>
      </c>
      <c r="G13" s="55" t="s">
        <v>207</v>
      </c>
      <c r="H13" s="55" t="s">
        <v>20</v>
      </c>
      <c r="I13" s="55">
        <v>3</v>
      </c>
      <c r="J13" s="55" t="s">
        <v>40</v>
      </c>
      <c r="K13" s="56">
        <v>886.53</v>
      </c>
      <c r="L13" s="55">
        <v>10000</v>
      </c>
      <c r="M13" s="55" t="s">
        <v>185</v>
      </c>
      <c r="N13" s="57">
        <f t="shared" si="0"/>
        <v>8.8652999999999996E-2</v>
      </c>
      <c r="O13" s="57">
        <f>+VLOOKUP(J13,TC!$B$6:$C$17,2,0)*PRECIOS!N13</f>
        <v>405.71167853131675</v>
      </c>
      <c r="P13" s="55" t="str">
        <f t="shared" si="1"/>
        <v>No</v>
      </c>
      <c r="Q13" s="57">
        <f>+IF(I13=1,O13,IF(I13=2,O13/(1+MRI!$C$18),(O13/(1+MRI!$D$18))/(1+MRI!$C$18)))</f>
        <v>310.15426116609439</v>
      </c>
      <c r="R13" s="57" t="str">
        <f t="shared" si="2"/>
        <v/>
      </c>
    </row>
    <row r="14" spans="1:18" x14ac:dyDescent="0.3">
      <c r="A14" s="42">
        <v>13</v>
      </c>
      <c r="B14" s="42">
        <v>655</v>
      </c>
      <c r="C14" s="42" t="s">
        <v>212</v>
      </c>
      <c r="D14" s="42" t="s">
        <v>179</v>
      </c>
      <c r="E14" s="42" t="s">
        <v>138</v>
      </c>
      <c r="F14" s="42" t="s">
        <v>106</v>
      </c>
      <c r="G14" s="42" t="s">
        <v>207</v>
      </c>
      <c r="H14" s="42" t="s">
        <v>11</v>
      </c>
      <c r="I14" s="42">
        <v>1</v>
      </c>
      <c r="J14" s="42" t="s">
        <v>40</v>
      </c>
      <c r="K14" s="43">
        <v>537.16</v>
      </c>
      <c r="L14" s="42">
        <v>10000</v>
      </c>
      <c r="M14" s="42" t="s">
        <v>185</v>
      </c>
      <c r="N14" s="44">
        <f t="shared" si="0"/>
        <v>5.3716E-2</v>
      </c>
      <c r="O14" s="44">
        <f>+VLOOKUP(J14,TC!$B$6:$C$17,2,0)*PRECIOS!N14</f>
        <v>245.82595652700093</v>
      </c>
      <c r="P14" s="42" t="str">
        <f t="shared" si="1"/>
        <v>Si</v>
      </c>
      <c r="Q14" s="44">
        <f>+IF(I14=1,O14,IF(I14=2,O14/(1+MRI!$C$18),(O14/(1+MRI!$D$18))/(1+MRI!$C$18)))</f>
        <v>245.82595652700093</v>
      </c>
      <c r="R14" s="44">
        <f t="shared" si="2"/>
        <v>245.82595652700093</v>
      </c>
    </row>
    <row r="15" spans="1:18" x14ac:dyDescent="0.3">
      <c r="A15" s="55">
        <v>14</v>
      </c>
      <c r="B15" s="55">
        <v>655</v>
      </c>
      <c r="C15" s="55" t="s">
        <v>213</v>
      </c>
      <c r="D15" s="55" t="s">
        <v>179</v>
      </c>
      <c r="E15" s="55" t="s">
        <v>138</v>
      </c>
      <c r="F15" s="55" t="s">
        <v>41</v>
      </c>
      <c r="G15" s="55" t="s">
        <v>42</v>
      </c>
      <c r="H15" s="55" t="s">
        <v>13</v>
      </c>
      <c r="I15" s="55">
        <v>2</v>
      </c>
      <c r="J15" s="55" t="s">
        <v>43</v>
      </c>
      <c r="K15" s="56">
        <v>450</v>
      </c>
      <c r="L15" s="55">
        <v>10000</v>
      </c>
      <c r="M15" s="55" t="s">
        <v>185</v>
      </c>
      <c r="N15" s="57">
        <f t="shared" si="0"/>
        <v>4.4999999999999998E-2</v>
      </c>
      <c r="O15" s="57">
        <f>+VLOOKUP(J15,TC!$B$6:$C$17,2,0)*PRECIOS!N15</f>
        <v>239.06216199363593</v>
      </c>
      <c r="P15" s="55" t="str">
        <f t="shared" si="1"/>
        <v>Si</v>
      </c>
      <c r="Q15" s="57">
        <f>+IF(I15=1,O15,IF(I15=2,O15/(1+MRI!$C$18),(O15/(1+MRI!$D$18))/(1+MRI!$C$18)))</f>
        <v>218.18412324073043</v>
      </c>
      <c r="R15" s="57">
        <f t="shared" si="2"/>
        <v>218.18412324073043</v>
      </c>
    </row>
    <row r="16" spans="1:18" x14ac:dyDescent="0.3">
      <c r="A16" s="42">
        <v>15</v>
      </c>
      <c r="B16" s="42">
        <v>838</v>
      </c>
      <c r="C16" s="42" t="s">
        <v>146</v>
      </c>
      <c r="D16" s="42" t="s">
        <v>184</v>
      </c>
      <c r="E16" s="42" t="s">
        <v>147</v>
      </c>
      <c r="F16" s="42" t="s">
        <v>9</v>
      </c>
      <c r="G16" s="42" t="s">
        <v>10</v>
      </c>
      <c r="H16" s="42" t="s">
        <v>11</v>
      </c>
      <c r="I16" s="42">
        <v>1</v>
      </c>
      <c r="J16" s="42" t="s">
        <v>12</v>
      </c>
      <c r="K16" s="43">
        <v>111.7432</v>
      </c>
      <c r="L16" s="42">
        <v>33900</v>
      </c>
      <c r="M16" s="42" t="s">
        <v>186</v>
      </c>
      <c r="N16" s="44">
        <f t="shared" si="0"/>
        <v>3.2962595870206488E-3</v>
      </c>
      <c r="O16" s="44">
        <f>+VLOOKUP(J16,TC!$B$6:$C$17,2,0)*PRECIOS!N16</f>
        <v>2.7783167467533136</v>
      </c>
      <c r="P16" s="42" t="str">
        <f t="shared" si="1"/>
        <v>Si</v>
      </c>
      <c r="Q16" s="44">
        <f>+IF(I16=1,O16,IF(I16=2,O16/(1+MRI!$C$18),(O16/(1+MRI!$D$18))/(1+MRI!$C$18)))</f>
        <v>2.7783167467533136</v>
      </c>
      <c r="R16" s="44">
        <f t="shared" si="2"/>
        <v>2.7783167467533136</v>
      </c>
    </row>
    <row r="17" spans="1:18" x14ac:dyDescent="0.3">
      <c r="A17" s="55">
        <v>16</v>
      </c>
      <c r="B17" s="55">
        <v>838</v>
      </c>
      <c r="C17" s="55" t="s">
        <v>146</v>
      </c>
      <c r="D17" s="55" t="s">
        <v>184</v>
      </c>
      <c r="E17" s="55" t="s">
        <v>147</v>
      </c>
      <c r="F17" s="55" t="s">
        <v>9</v>
      </c>
      <c r="G17" s="55" t="s">
        <v>10</v>
      </c>
      <c r="H17" s="55" t="s">
        <v>20</v>
      </c>
      <c r="I17" s="55">
        <v>3</v>
      </c>
      <c r="J17" s="55" t="s">
        <v>12</v>
      </c>
      <c r="K17" s="56">
        <v>154.47839999999999</v>
      </c>
      <c r="L17" s="55">
        <v>33900</v>
      </c>
      <c r="M17" s="55" t="s">
        <v>186</v>
      </c>
      <c r="N17" s="57">
        <f t="shared" si="0"/>
        <v>4.5568849557522124E-3</v>
      </c>
      <c r="O17" s="57">
        <f>+VLOOKUP(J17,TC!$B$6:$C$17,2,0)*PRECIOS!N17</f>
        <v>3.8408594503437983</v>
      </c>
      <c r="P17" s="55" t="str">
        <f t="shared" si="1"/>
        <v>No</v>
      </c>
      <c r="Q17" s="57">
        <f>+IF(I17=1,O17,IF(I17=2,O17/(1+MRI!$C$18),(O17/(1+MRI!$D$18))/(1+MRI!$C$18)))</f>
        <v>2.9362204444707385</v>
      </c>
      <c r="R17" s="57" t="str">
        <f t="shared" si="2"/>
        <v/>
      </c>
    </row>
    <row r="18" spans="1:18" x14ac:dyDescent="0.3">
      <c r="A18" s="42">
        <v>17</v>
      </c>
      <c r="B18" s="42">
        <v>838</v>
      </c>
      <c r="C18" s="42" t="s">
        <v>146</v>
      </c>
      <c r="D18" s="42" t="s">
        <v>184</v>
      </c>
      <c r="E18" s="42" t="s">
        <v>147</v>
      </c>
      <c r="F18" s="42" t="s">
        <v>9</v>
      </c>
      <c r="G18" s="42" t="s">
        <v>10</v>
      </c>
      <c r="H18" s="42" t="s">
        <v>13</v>
      </c>
      <c r="I18" s="42">
        <v>2</v>
      </c>
      <c r="J18" s="42" t="s">
        <v>12</v>
      </c>
      <c r="K18" s="43">
        <v>99.64200000000001</v>
      </c>
      <c r="L18" s="42">
        <v>33900</v>
      </c>
      <c r="M18" s="42" t="s">
        <v>186</v>
      </c>
      <c r="N18" s="44">
        <f t="shared" si="0"/>
        <v>2.9392920353982304E-3</v>
      </c>
      <c r="O18" s="44">
        <f>+VLOOKUP(J18,TC!$B$6:$C$17,2,0)*PRECIOS!N18</f>
        <v>2.4774396766872053</v>
      </c>
      <c r="P18" s="42" t="str">
        <f t="shared" si="1"/>
        <v>No</v>
      </c>
      <c r="Q18" s="44">
        <f>+IF(I18=1,O18,IF(I18=2,O18/(1+MRI!$C$18),(O18/(1+MRI!$D$18))/(1+MRI!$C$18)))</f>
        <v>2.2610771994699279</v>
      </c>
      <c r="R18" s="44" t="str">
        <f t="shared" si="2"/>
        <v/>
      </c>
    </row>
    <row r="19" spans="1:18" x14ac:dyDescent="0.3">
      <c r="A19" s="55">
        <v>18</v>
      </c>
      <c r="B19" s="55">
        <v>838</v>
      </c>
      <c r="C19" s="55" t="s">
        <v>146</v>
      </c>
      <c r="D19" s="55" t="s">
        <v>184</v>
      </c>
      <c r="E19" s="55" t="s">
        <v>148</v>
      </c>
      <c r="F19" s="55" t="s">
        <v>9</v>
      </c>
      <c r="G19" s="55" t="s">
        <v>10</v>
      </c>
      <c r="H19" s="55" t="s">
        <v>11</v>
      </c>
      <c r="I19" s="55">
        <v>1</v>
      </c>
      <c r="J19" s="55" t="s">
        <v>12</v>
      </c>
      <c r="K19" s="56">
        <v>431.89583333333331</v>
      </c>
      <c r="L19" s="55">
        <v>67800</v>
      </c>
      <c r="M19" s="55" t="s">
        <v>186</v>
      </c>
      <c r="N19" s="57">
        <f t="shared" si="0"/>
        <v>6.3701450344149455E-3</v>
      </c>
      <c r="O19" s="57">
        <f>+VLOOKUP(J19,TC!$B$6:$C$17,2,0)*PRECIOS!N19</f>
        <v>5.3692011084476636</v>
      </c>
      <c r="P19" s="55" t="str">
        <f t="shared" si="1"/>
        <v>Si</v>
      </c>
      <c r="Q19" s="57">
        <f>+IF(I19=1,O19,IF(I19=2,O19/(1+MRI!$C$18),(O19/(1+MRI!$D$18))/(1+MRI!$C$18)))</f>
        <v>5.3692011084476636</v>
      </c>
      <c r="R19" s="57">
        <f t="shared" si="2"/>
        <v>5.3692011084476636</v>
      </c>
    </row>
    <row r="20" spans="1:18" x14ac:dyDescent="0.3">
      <c r="A20" s="42">
        <v>19</v>
      </c>
      <c r="B20" s="42">
        <v>838</v>
      </c>
      <c r="C20" s="42" t="s">
        <v>146</v>
      </c>
      <c r="D20" s="42" t="s">
        <v>184</v>
      </c>
      <c r="E20" s="42" t="s">
        <v>148</v>
      </c>
      <c r="F20" s="42" t="s">
        <v>9</v>
      </c>
      <c r="G20" s="42" t="s">
        <v>10</v>
      </c>
      <c r="H20" s="42" t="s">
        <v>20</v>
      </c>
      <c r="I20" s="42">
        <v>3</v>
      </c>
      <c r="J20" s="42" t="s">
        <v>12</v>
      </c>
      <c r="K20" s="43">
        <v>597.07083333333333</v>
      </c>
      <c r="L20" s="42">
        <v>67800</v>
      </c>
      <c r="M20" s="42" t="s">
        <v>186</v>
      </c>
      <c r="N20" s="44">
        <f t="shared" si="0"/>
        <v>8.8063544739429688E-3</v>
      </c>
      <c r="O20" s="44">
        <f>+VLOOKUP(J20,TC!$B$6:$C$17,2,0)*PRECIOS!N20</f>
        <v>7.4226077973780802</v>
      </c>
      <c r="P20" s="42" t="str">
        <f t="shared" si="1"/>
        <v>No</v>
      </c>
      <c r="Q20" s="44">
        <f>+IF(I20=1,O20,IF(I20=2,O20/(1+MRI!$C$18),(O20/(1+MRI!$D$18))/(1+MRI!$C$18)))</f>
        <v>5.6743583168602019</v>
      </c>
      <c r="R20" s="44" t="str">
        <f t="shared" si="2"/>
        <v/>
      </c>
    </row>
    <row r="21" spans="1:18" x14ac:dyDescent="0.3">
      <c r="A21" s="55">
        <v>20</v>
      </c>
      <c r="B21" s="55">
        <v>838</v>
      </c>
      <c r="C21" s="55" t="s">
        <v>146</v>
      </c>
      <c r="D21" s="55" t="s">
        <v>184</v>
      </c>
      <c r="E21" s="55" t="s">
        <v>148</v>
      </c>
      <c r="F21" s="55" t="s">
        <v>9</v>
      </c>
      <c r="G21" s="55" t="s">
        <v>10</v>
      </c>
      <c r="H21" s="55" t="s">
        <v>13</v>
      </c>
      <c r="I21" s="55">
        <v>2</v>
      </c>
      <c r="J21" s="55" t="s">
        <v>12</v>
      </c>
      <c r="K21" s="56">
        <v>338.90833333333336</v>
      </c>
      <c r="L21" s="55">
        <v>67800</v>
      </c>
      <c r="M21" s="55" t="s">
        <v>186</v>
      </c>
      <c r="N21" s="57">
        <f t="shared" si="0"/>
        <v>4.9986479842674533E-3</v>
      </c>
      <c r="O21" s="57">
        <f>+VLOOKUP(J21,TC!$B$6:$C$17,2,0)*PRECIOS!N21</f>
        <v>4.2132080435957366</v>
      </c>
      <c r="P21" s="55" t="str">
        <f t="shared" si="1"/>
        <v>No</v>
      </c>
      <c r="Q21" s="57">
        <f>+IF(I21=1,O21,IF(I21=2,O21/(1+MRI!$C$18),(O21/(1+MRI!$D$18))/(1+MRI!$C$18)))</f>
        <v>3.8452555408881492</v>
      </c>
      <c r="R21" s="57" t="str">
        <f t="shared" si="2"/>
        <v/>
      </c>
    </row>
    <row r="22" spans="1:18" x14ac:dyDescent="0.3">
      <c r="A22" s="42">
        <v>21</v>
      </c>
      <c r="B22" s="42">
        <v>838</v>
      </c>
      <c r="C22" s="42" t="s">
        <v>146</v>
      </c>
      <c r="D22" s="42" t="s">
        <v>184</v>
      </c>
      <c r="E22" s="42" t="s">
        <v>149</v>
      </c>
      <c r="F22" s="42" t="s">
        <v>9</v>
      </c>
      <c r="G22" s="42" t="s">
        <v>10</v>
      </c>
      <c r="H22" s="42" t="s">
        <v>11</v>
      </c>
      <c r="I22" s="42">
        <v>1</v>
      </c>
      <c r="J22" s="42" t="s">
        <v>12</v>
      </c>
      <c r="K22" s="43">
        <v>603.85649999999998</v>
      </c>
      <c r="L22" s="42">
        <v>84750</v>
      </c>
      <c r="M22" s="42" t="s">
        <v>186</v>
      </c>
      <c r="N22" s="44">
        <f t="shared" si="0"/>
        <v>7.1251504424778758E-3</v>
      </c>
      <c r="O22" s="44">
        <f>+VLOOKUP(J22,TC!$B$6:$C$17,2,0)*PRECIOS!N22</f>
        <v>6.0055721568232956</v>
      </c>
      <c r="P22" s="42" t="str">
        <f t="shared" si="1"/>
        <v>Si</v>
      </c>
      <c r="Q22" s="44">
        <f>+IF(I22=1,O22,IF(I22=2,O22/(1+MRI!$C$18),(O22/(1+MRI!$D$18))/(1+MRI!$C$18)))</f>
        <v>6.0055721568232956</v>
      </c>
      <c r="R22" s="44">
        <f t="shared" si="2"/>
        <v>6.0055721568232956</v>
      </c>
    </row>
    <row r="23" spans="1:18" x14ac:dyDescent="0.3">
      <c r="A23" s="55">
        <v>22</v>
      </c>
      <c r="B23" s="55">
        <v>838</v>
      </c>
      <c r="C23" s="55" t="s">
        <v>146</v>
      </c>
      <c r="D23" s="55" t="s">
        <v>184</v>
      </c>
      <c r="E23" s="55" t="s">
        <v>149</v>
      </c>
      <c r="F23" s="55" t="s">
        <v>9</v>
      </c>
      <c r="G23" s="55" t="s">
        <v>10</v>
      </c>
      <c r="H23" s="55" t="s">
        <v>20</v>
      </c>
      <c r="I23" s="55">
        <v>3</v>
      </c>
      <c r="J23" s="55" t="s">
        <v>12</v>
      </c>
      <c r="K23" s="56">
        <v>834.79599999999994</v>
      </c>
      <c r="L23" s="55">
        <v>84750</v>
      </c>
      <c r="M23" s="55" t="s">
        <v>186</v>
      </c>
      <c r="N23" s="57">
        <f t="shared" si="0"/>
        <v>9.8501002949852503E-3</v>
      </c>
      <c r="O23" s="57">
        <f>+VLOOKUP(J23,TC!$B$6:$C$17,2,0)*PRECIOS!N23</f>
        <v>8.3023493399962742</v>
      </c>
      <c r="P23" s="55" t="str">
        <f t="shared" si="1"/>
        <v>No</v>
      </c>
      <c r="Q23" s="57">
        <f>+IF(I23=1,O23,IF(I23=2,O23/(1+MRI!$C$18),(O23/(1+MRI!$D$18))/(1+MRI!$C$18)))</f>
        <v>6.3468940179659921</v>
      </c>
      <c r="R23" s="57" t="str">
        <f t="shared" si="2"/>
        <v/>
      </c>
    </row>
    <row r="24" spans="1:18" x14ac:dyDescent="0.3">
      <c r="A24" s="42">
        <v>23</v>
      </c>
      <c r="B24" s="42">
        <v>838</v>
      </c>
      <c r="C24" s="42" t="s">
        <v>146</v>
      </c>
      <c r="D24" s="42" t="s">
        <v>184</v>
      </c>
      <c r="E24" s="42" t="s">
        <v>149</v>
      </c>
      <c r="F24" s="42" t="s">
        <v>9</v>
      </c>
      <c r="G24" s="42" t="s">
        <v>10</v>
      </c>
      <c r="H24" s="42" t="s">
        <v>13</v>
      </c>
      <c r="I24" s="42">
        <v>2</v>
      </c>
      <c r="J24" s="42" t="s">
        <v>12</v>
      </c>
      <c r="K24" s="43">
        <v>473.846</v>
      </c>
      <c r="L24" s="42">
        <v>84750</v>
      </c>
      <c r="M24" s="42" t="s">
        <v>186</v>
      </c>
      <c r="N24" s="44">
        <f t="shared" si="0"/>
        <v>5.5911032448377578E-3</v>
      </c>
      <c r="O24" s="44">
        <f>+VLOOKUP(J24,TC!$B$6:$C$17,2,0)*PRECIOS!N24</f>
        <v>4.7125705266434847</v>
      </c>
      <c r="P24" s="42" t="str">
        <f t="shared" si="1"/>
        <v>No</v>
      </c>
      <c r="Q24" s="44">
        <f>+IF(I24=1,O24,IF(I24=2,O24/(1+MRI!$C$18),(O24/(1+MRI!$D$18))/(1+MRI!$C$18)))</f>
        <v>4.3010071522451465</v>
      </c>
      <c r="R24" s="44" t="str">
        <f t="shared" si="2"/>
        <v/>
      </c>
    </row>
    <row r="25" spans="1:18" x14ac:dyDescent="0.3">
      <c r="A25" s="55">
        <v>24</v>
      </c>
      <c r="B25" s="55">
        <v>838</v>
      </c>
      <c r="C25" s="55" t="s">
        <v>146</v>
      </c>
      <c r="D25" s="55" t="s">
        <v>184</v>
      </c>
      <c r="E25" s="55" t="s">
        <v>150</v>
      </c>
      <c r="F25" s="55" t="s">
        <v>9</v>
      </c>
      <c r="G25" s="55" t="s">
        <v>10</v>
      </c>
      <c r="H25" s="55" t="s">
        <v>11</v>
      </c>
      <c r="I25" s="55">
        <v>1</v>
      </c>
      <c r="J25" s="55" t="s">
        <v>12</v>
      </c>
      <c r="K25" s="56">
        <v>266.37299999999999</v>
      </c>
      <c r="L25" s="55">
        <v>50850</v>
      </c>
      <c r="M25" s="55" t="s">
        <v>186</v>
      </c>
      <c r="N25" s="57">
        <f t="shared" si="0"/>
        <v>5.2384070796460177E-3</v>
      </c>
      <c r="O25" s="57">
        <f>+VLOOKUP(J25,TC!$B$6:$C$17,2,0)*PRECIOS!N25</f>
        <v>4.4152936780219916</v>
      </c>
      <c r="P25" s="55" t="str">
        <f t="shared" si="1"/>
        <v>Si</v>
      </c>
      <c r="Q25" s="57">
        <f>+IF(I25=1,O25,IF(I25=2,O25/(1+MRI!$C$18),(O25/(1+MRI!$D$18))/(1+MRI!$C$18)))</f>
        <v>4.4152936780219916</v>
      </c>
      <c r="R25" s="57">
        <f t="shared" si="2"/>
        <v>4.4152936780219916</v>
      </c>
    </row>
    <row r="26" spans="1:18" x14ac:dyDescent="0.3">
      <c r="A26" s="42">
        <v>25</v>
      </c>
      <c r="B26" s="42">
        <v>838</v>
      </c>
      <c r="C26" s="42" t="s">
        <v>146</v>
      </c>
      <c r="D26" s="42" t="s">
        <v>184</v>
      </c>
      <c r="E26" s="42" t="s">
        <v>150</v>
      </c>
      <c r="F26" s="42" t="s">
        <v>9</v>
      </c>
      <c r="G26" s="42" t="s">
        <v>10</v>
      </c>
      <c r="H26" s="42" t="s">
        <v>20</v>
      </c>
      <c r="I26" s="42">
        <v>3</v>
      </c>
      <c r="J26" s="42" t="s">
        <v>12</v>
      </c>
      <c r="K26" s="43">
        <v>368.245</v>
      </c>
      <c r="L26" s="42">
        <v>50850</v>
      </c>
      <c r="M26" s="42" t="s">
        <v>186</v>
      </c>
      <c r="N26" s="44">
        <f t="shared" si="0"/>
        <v>7.2417895771878073E-3</v>
      </c>
      <c r="O26" s="44">
        <f>+VLOOKUP(J26,TC!$B$6:$C$17,2,0)*PRECIOS!N26</f>
        <v>6.1038837286932539</v>
      </c>
      <c r="P26" s="42" t="str">
        <f t="shared" si="1"/>
        <v>No</v>
      </c>
      <c r="Q26" s="44">
        <f>+IF(I26=1,O26,IF(I26=2,O26/(1+MRI!$C$18),(O26/(1+MRI!$D$18))/(1+MRI!$C$18)))</f>
        <v>4.6662338017229894</v>
      </c>
      <c r="R26" s="44" t="str">
        <f t="shared" si="2"/>
        <v/>
      </c>
    </row>
    <row r="27" spans="1:18" x14ac:dyDescent="0.3">
      <c r="A27" s="55">
        <v>26</v>
      </c>
      <c r="B27" s="55">
        <v>838</v>
      </c>
      <c r="C27" s="55" t="s">
        <v>146</v>
      </c>
      <c r="D27" s="55" t="s">
        <v>184</v>
      </c>
      <c r="E27" s="55" t="s">
        <v>150</v>
      </c>
      <c r="F27" s="55" t="s">
        <v>9</v>
      </c>
      <c r="G27" s="55" t="s">
        <v>10</v>
      </c>
      <c r="H27" s="55" t="s">
        <v>13</v>
      </c>
      <c r="I27" s="55">
        <v>2</v>
      </c>
      <c r="J27" s="55" t="s">
        <v>12</v>
      </c>
      <c r="K27" s="56">
        <v>209.023</v>
      </c>
      <c r="L27" s="55">
        <v>50850</v>
      </c>
      <c r="M27" s="55" t="s">
        <v>186</v>
      </c>
      <c r="N27" s="57">
        <f t="shared" si="0"/>
        <v>4.1105801376597837E-3</v>
      </c>
      <c r="O27" s="57">
        <f>+VLOOKUP(J27,TC!$B$6:$C$17,2,0)*PRECIOS!N27</f>
        <v>3.4646827210760498</v>
      </c>
      <c r="P27" s="55" t="str">
        <f t="shared" si="1"/>
        <v>No</v>
      </c>
      <c r="Q27" s="57">
        <f>+IF(I27=1,O27,IF(I27=2,O27/(1+MRI!$C$18),(O27/(1+MRI!$D$18))/(1+MRI!$C$18)))</f>
        <v>3.1621012522484002</v>
      </c>
      <c r="R27" s="57" t="str">
        <f t="shared" si="2"/>
        <v/>
      </c>
    </row>
    <row r="28" spans="1:18" x14ac:dyDescent="0.3">
      <c r="A28" s="42">
        <v>27</v>
      </c>
      <c r="B28" s="42">
        <v>838</v>
      </c>
      <c r="C28" s="42" t="s">
        <v>146</v>
      </c>
      <c r="D28" s="42" t="s">
        <v>184</v>
      </c>
      <c r="E28" s="42" t="s">
        <v>151</v>
      </c>
      <c r="F28" s="42" t="s">
        <v>9</v>
      </c>
      <c r="G28" s="42" t="s">
        <v>10</v>
      </c>
      <c r="H28" s="42" t="s">
        <v>11</v>
      </c>
      <c r="I28" s="42">
        <v>1</v>
      </c>
      <c r="J28" s="42" t="s">
        <v>12</v>
      </c>
      <c r="K28" s="43">
        <v>246.80279999999999</v>
      </c>
      <c r="L28" s="42">
        <v>37050</v>
      </c>
      <c r="M28" s="42" t="s">
        <v>186</v>
      </c>
      <c r="N28" s="44">
        <f t="shared" si="0"/>
        <v>6.6613441295546557E-3</v>
      </c>
      <c r="O28" s="44">
        <f>+VLOOKUP(J28,TC!$B$6:$C$17,2,0)*PRECIOS!N28</f>
        <v>5.6146439509506507</v>
      </c>
      <c r="P28" s="42" t="str">
        <f t="shared" si="1"/>
        <v>Si</v>
      </c>
      <c r="Q28" s="44">
        <f>+IF(I28=1,O28,IF(I28=2,O28/(1+MRI!$C$18),(O28/(1+MRI!$D$18))/(1+MRI!$C$18)))</f>
        <v>5.6146439509506507</v>
      </c>
      <c r="R28" s="44">
        <f t="shared" si="2"/>
        <v>5.6146439509506507</v>
      </c>
    </row>
    <row r="29" spans="1:18" x14ac:dyDescent="0.3">
      <c r="A29" s="55">
        <v>28</v>
      </c>
      <c r="B29" s="55">
        <v>838</v>
      </c>
      <c r="C29" s="55" t="s">
        <v>146</v>
      </c>
      <c r="D29" s="55" t="s">
        <v>184</v>
      </c>
      <c r="E29" s="55" t="s">
        <v>151</v>
      </c>
      <c r="F29" s="55" t="s">
        <v>9</v>
      </c>
      <c r="G29" s="55" t="s">
        <v>10</v>
      </c>
      <c r="H29" s="55" t="s">
        <v>20</v>
      </c>
      <c r="I29" s="55">
        <v>3</v>
      </c>
      <c r="J29" s="55" t="s">
        <v>12</v>
      </c>
      <c r="K29" s="56">
        <v>341.19040000000001</v>
      </c>
      <c r="L29" s="55">
        <v>37050</v>
      </c>
      <c r="M29" s="55" t="s">
        <v>186</v>
      </c>
      <c r="N29" s="57">
        <f t="shared" si="0"/>
        <v>9.2089176788124165E-3</v>
      </c>
      <c r="O29" s="57">
        <f>+VLOOKUP(J29,TC!$B$6:$C$17,2,0)*PRECIOS!N29</f>
        <v>7.7619160539606238</v>
      </c>
      <c r="P29" s="55" t="str">
        <f t="shared" si="1"/>
        <v>No</v>
      </c>
      <c r="Q29" s="57">
        <f>+IF(I29=1,O29,IF(I29=2,O29/(1+MRI!$C$18),(O29/(1+MRI!$D$18))/(1+MRI!$C$18)))</f>
        <v>5.9337491778994433</v>
      </c>
      <c r="R29" s="57" t="str">
        <f t="shared" si="2"/>
        <v/>
      </c>
    </row>
    <row r="30" spans="1:18" x14ac:dyDescent="0.3">
      <c r="A30" s="42">
        <v>29</v>
      </c>
      <c r="B30" s="42">
        <v>838</v>
      </c>
      <c r="C30" s="42" t="s">
        <v>146</v>
      </c>
      <c r="D30" s="42" t="s">
        <v>184</v>
      </c>
      <c r="E30" s="42" t="s">
        <v>151</v>
      </c>
      <c r="F30" s="42" t="s">
        <v>9</v>
      </c>
      <c r="G30" s="42" t="s">
        <v>10</v>
      </c>
      <c r="H30" s="42" t="s">
        <v>13</v>
      </c>
      <c r="I30" s="42">
        <v>2</v>
      </c>
      <c r="J30" s="42" t="s">
        <v>12</v>
      </c>
      <c r="K30" s="43">
        <v>193.666</v>
      </c>
      <c r="L30" s="42">
        <v>37050</v>
      </c>
      <c r="M30" s="42" t="s">
        <v>186</v>
      </c>
      <c r="N30" s="44">
        <f t="shared" si="0"/>
        <v>5.2271524966261808E-3</v>
      </c>
      <c r="O30" s="44">
        <f>+VLOOKUP(J30,TC!$B$6:$C$17,2,0)*PRECIOS!N30</f>
        <v>4.4058075329972297</v>
      </c>
      <c r="P30" s="42" t="str">
        <f t="shared" si="1"/>
        <v>No</v>
      </c>
      <c r="Q30" s="44">
        <f>+IF(I30=1,O30,IF(I30=2,O30/(1+MRI!$C$18),(O30/(1+MRI!$D$18))/(1+MRI!$C$18)))</f>
        <v>4.021034720584499</v>
      </c>
      <c r="R30" s="44" t="str">
        <f t="shared" si="2"/>
        <v/>
      </c>
    </row>
    <row r="31" spans="1:18" x14ac:dyDescent="0.3">
      <c r="A31" s="55">
        <v>30</v>
      </c>
      <c r="B31" s="55">
        <v>838</v>
      </c>
      <c r="C31" s="55" t="s">
        <v>146</v>
      </c>
      <c r="D31" s="55" t="s">
        <v>184</v>
      </c>
      <c r="E31" s="55" t="s">
        <v>152</v>
      </c>
      <c r="F31" s="55" t="s">
        <v>9</v>
      </c>
      <c r="G31" s="55" t="s">
        <v>10</v>
      </c>
      <c r="H31" s="55" t="s">
        <v>11</v>
      </c>
      <c r="I31" s="55">
        <v>1</v>
      </c>
      <c r="J31" s="55" t="s">
        <v>12</v>
      </c>
      <c r="K31" s="56">
        <v>493.60500000000002</v>
      </c>
      <c r="L31" s="55">
        <v>74100</v>
      </c>
      <c r="M31" s="55" t="s">
        <v>186</v>
      </c>
      <c r="N31" s="57">
        <f t="shared" si="0"/>
        <v>6.6613360323886641E-3</v>
      </c>
      <c r="O31" s="57">
        <f>+VLOOKUP(J31,TC!$B$6:$C$17,2,0)*PRECIOS!N31</f>
        <v>5.6146371260962109</v>
      </c>
      <c r="P31" s="55" t="str">
        <f t="shared" si="1"/>
        <v>Si</v>
      </c>
      <c r="Q31" s="57">
        <f>+IF(I31=1,O31,IF(I31=2,O31/(1+MRI!$C$18),(O31/(1+MRI!$D$18))/(1+MRI!$C$18)))</f>
        <v>5.6146371260962109</v>
      </c>
      <c r="R31" s="57">
        <f t="shared" si="2"/>
        <v>5.6146371260962109</v>
      </c>
    </row>
    <row r="32" spans="1:18" x14ac:dyDescent="0.3">
      <c r="A32" s="42">
        <v>31</v>
      </c>
      <c r="B32" s="42">
        <v>838</v>
      </c>
      <c r="C32" s="42" t="s">
        <v>146</v>
      </c>
      <c r="D32" s="42" t="s">
        <v>184</v>
      </c>
      <c r="E32" s="42" t="s">
        <v>152</v>
      </c>
      <c r="F32" s="42" t="s">
        <v>9</v>
      </c>
      <c r="G32" s="42" t="s">
        <v>10</v>
      </c>
      <c r="H32" s="42" t="s">
        <v>20</v>
      </c>
      <c r="I32" s="42">
        <v>3</v>
      </c>
      <c r="J32" s="42" t="s">
        <v>12</v>
      </c>
      <c r="K32" s="43">
        <v>682.38</v>
      </c>
      <c r="L32" s="42">
        <v>74100</v>
      </c>
      <c r="M32" s="42" t="s">
        <v>186</v>
      </c>
      <c r="N32" s="44">
        <f t="shared" si="0"/>
        <v>9.2089068825910933E-3</v>
      </c>
      <c r="O32" s="44">
        <f>+VLOOKUP(J32,TC!$B$6:$C$17,2,0)*PRECIOS!N32</f>
        <v>7.7619069541547034</v>
      </c>
      <c r="P32" s="42" t="str">
        <f t="shared" si="1"/>
        <v>No</v>
      </c>
      <c r="Q32" s="44">
        <f>+IF(I32=1,O32,IF(I32=2,O32/(1+MRI!$C$18),(O32/(1+MRI!$D$18))/(1+MRI!$C$18)))</f>
        <v>5.9337422213740796</v>
      </c>
      <c r="R32" s="44" t="str">
        <f t="shared" si="2"/>
        <v/>
      </c>
    </row>
    <row r="33" spans="1:18" x14ac:dyDescent="0.3">
      <c r="A33" s="55">
        <v>32</v>
      </c>
      <c r="B33" s="55">
        <v>838</v>
      </c>
      <c r="C33" s="55" t="s">
        <v>146</v>
      </c>
      <c r="D33" s="55" t="s">
        <v>184</v>
      </c>
      <c r="E33" s="55" t="s">
        <v>152</v>
      </c>
      <c r="F33" s="55" t="s">
        <v>9</v>
      </c>
      <c r="G33" s="55" t="s">
        <v>10</v>
      </c>
      <c r="H33" s="55" t="s">
        <v>13</v>
      </c>
      <c r="I33" s="55">
        <v>2</v>
      </c>
      <c r="J33" s="55" t="s">
        <v>12</v>
      </c>
      <c r="K33" s="56">
        <v>387.33166666666665</v>
      </c>
      <c r="L33" s="55">
        <v>74100</v>
      </c>
      <c r="M33" s="55" t="s">
        <v>186</v>
      </c>
      <c r="N33" s="57">
        <f t="shared" si="0"/>
        <v>5.2271479982006295E-3</v>
      </c>
      <c r="O33" s="57">
        <f>+VLOOKUP(J33,TC!$B$6:$C$17,2,0)*PRECIOS!N33</f>
        <v>4.4058037414114297</v>
      </c>
      <c r="P33" s="55" t="str">
        <f t="shared" si="1"/>
        <v>No</v>
      </c>
      <c r="Q33" s="57">
        <f>+IF(I33=1,O33,IF(I33=2,O33/(1+MRI!$C$18),(O33/(1+MRI!$D$18))/(1+MRI!$C$18)))</f>
        <v>4.0210312601296252</v>
      </c>
      <c r="R33" s="57" t="str">
        <f t="shared" si="2"/>
        <v/>
      </c>
    </row>
    <row r="34" spans="1:18" x14ac:dyDescent="0.3">
      <c r="A34" s="42">
        <v>33</v>
      </c>
      <c r="B34" s="42">
        <v>838</v>
      </c>
      <c r="C34" s="42" t="s">
        <v>146</v>
      </c>
      <c r="D34" s="42" t="s">
        <v>184</v>
      </c>
      <c r="E34" s="42" t="s">
        <v>153</v>
      </c>
      <c r="F34" s="42" t="s">
        <v>9</v>
      </c>
      <c r="G34" s="42" t="s">
        <v>10</v>
      </c>
      <c r="H34" s="42" t="s">
        <v>11</v>
      </c>
      <c r="I34" s="42">
        <v>1</v>
      </c>
      <c r="J34" s="42" t="s">
        <v>12</v>
      </c>
      <c r="K34" s="43">
        <v>616.99350000000004</v>
      </c>
      <c r="L34" s="42">
        <v>92625</v>
      </c>
      <c r="M34" s="42" t="s">
        <v>186</v>
      </c>
      <c r="N34" s="44">
        <f t="shared" si="0"/>
        <v>6.6611983805668021E-3</v>
      </c>
      <c r="O34" s="44">
        <f>+VLOOKUP(J34,TC!$B$6:$C$17,2,0)*PRECIOS!N34</f>
        <v>5.6145211035707385</v>
      </c>
      <c r="P34" s="42" t="str">
        <f t="shared" si="1"/>
        <v>Si</v>
      </c>
      <c r="Q34" s="44">
        <f>+IF(I34=1,O34,IF(I34=2,O34/(1+MRI!$C$18),(O34/(1+MRI!$D$18))/(1+MRI!$C$18)))</f>
        <v>5.6145211035707385</v>
      </c>
      <c r="R34" s="44">
        <f t="shared" si="2"/>
        <v>5.6145211035707385</v>
      </c>
    </row>
    <row r="35" spans="1:18" x14ac:dyDescent="0.3">
      <c r="A35" s="55">
        <v>34</v>
      </c>
      <c r="B35" s="55">
        <v>838</v>
      </c>
      <c r="C35" s="55" t="s">
        <v>146</v>
      </c>
      <c r="D35" s="55" t="s">
        <v>184</v>
      </c>
      <c r="E35" s="55" t="s">
        <v>153</v>
      </c>
      <c r="F35" s="55" t="s">
        <v>9</v>
      </c>
      <c r="G35" s="55" t="s">
        <v>10</v>
      </c>
      <c r="H35" s="55" t="s">
        <v>20</v>
      </c>
      <c r="I35" s="55">
        <v>3</v>
      </c>
      <c r="J35" s="55" t="s">
        <v>12</v>
      </c>
      <c r="K35" s="56">
        <v>852.9575000000001</v>
      </c>
      <c r="L35" s="55">
        <v>92625</v>
      </c>
      <c r="M35" s="55" t="s">
        <v>186</v>
      </c>
      <c r="N35" s="57">
        <f t="shared" si="0"/>
        <v>9.2087179487179496E-3</v>
      </c>
      <c r="O35" s="57">
        <f>+VLOOKUP(J35,TC!$B$6:$C$17,2,0)*PRECIOS!N35</f>
        <v>7.7617477075511134</v>
      </c>
      <c r="P35" s="55" t="str">
        <f t="shared" si="1"/>
        <v>No</v>
      </c>
      <c r="Q35" s="57">
        <f>+IF(I35=1,O35,IF(I35=2,O35/(1+MRI!$C$18),(O35/(1+MRI!$D$18))/(1+MRI!$C$18)))</f>
        <v>5.9336204821802303</v>
      </c>
      <c r="R35" s="57" t="str">
        <f t="shared" si="2"/>
        <v/>
      </c>
    </row>
    <row r="36" spans="1:18" x14ac:dyDescent="0.3">
      <c r="A36" s="42">
        <v>35</v>
      </c>
      <c r="B36" s="42">
        <v>838</v>
      </c>
      <c r="C36" s="42" t="s">
        <v>146</v>
      </c>
      <c r="D36" s="42" t="s">
        <v>184</v>
      </c>
      <c r="E36" s="42" t="s">
        <v>153</v>
      </c>
      <c r="F36" s="42" t="s">
        <v>9</v>
      </c>
      <c r="G36" s="42" t="s">
        <v>10</v>
      </c>
      <c r="H36" s="42" t="s">
        <v>13</v>
      </c>
      <c r="I36" s="42">
        <v>2</v>
      </c>
      <c r="J36" s="42" t="s">
        <v>12</v>
      </c>
      <c r="K36" s="43">
        <v>484.15500000000003</v>
      </c>
      <c r="L36" s="42">
        <v>92625</v>
      </c>
      <c r="M36" s="42" t="s">
        <v>186</v>
      </c>
      <c r="N36" s="44">
        <f t="shared" si="0"/>
        <v>5.2270445344129559E-3</v>
      </c>
      <c r="O36" s="44">
        <f>+VLOOKUP(J36,TC!$B$6:$C$17,2,0)*PRECIOS!N36</f>
        <v>4.4057165349380352</v>
      </c>
      <c r="P36" s="42" t="str">
        <f t="shared" si="1"/>
        <v>No</v>
      </c>
      <c r="Q36" s="44">
        <f>+IF(I36=1,O36,IF(I36=2,O36/(1+MRI!$C$18),(O36/(1+MRI!$D$18))/(1+MRI!$C$18)))</f>
        <v>4.0209516696675474</v>
      </c>
      <c r="R36" s="44" t="str">
        <f t="shared" si="2"/>
        <v/>
      </c>
    </row>
    <row r="37" spans="1:18" x14ac:dyDescent="0.3">
      <c r="A37" s="55">
        <v>36</v>
      </c>
      <c r="B37" s="55">
        <v>838</v>
      </c>
      <c r="C37" s="55" t="s">
        <v>146</v>
      </c>
      <c r="D37" s="55" t="s">
        <v>184</v>
      </c>
      <c r="E37" s="55" t="s">
        <v>154</v>
      </c>
      <c r="F37" s="55" t="s">
        <v>9</v>
      </c>
      <c r="G37" s="55" t="s">
        <v>10</v>
      </c>
      <c r="H37" s="55" t="s">
        <v>11</v>
      </c>
      <c r="I37" s="55">
        <v>1</v>
      </c>
      <c r="J37" s="55" t="s">
        <v>12</v>
      </c>
      <c r="K37" s="56">
        <v>271.01799999999997</v>
      </c>
      <c r="L37" s="55">
        <v>55575</v>
      </c>
      <c r="M37" s="55" t="s">
        <v>186</v>
      </c>
      <c r="N37" s="57">
        <f t="shared" si="0"/>
        <v>4.8766171839856043E-3</v>
      </c>
      <c r="O37" s="57">
        <f>+VLOOKUP(J37,TC!$B$6:$C$17,2,0)*PRECIOS!N37</f>
        <v>4.1103520011354364</v>
      </c>
      <c r="P37" s="55" t="str">
        <f t="shared" si="1"/>
        <v>Si</v>
      </c>
      <c r="Q37" s="57">
        <f>+IF(I37=1,O37,IF(I37=2,O37/(1+MRI!$C$18),(O37/(1+MRI!$D$18))/(1+MRI!$C$18)))</f>
        <v>4.1103520011354364</v>
      </c>
      <c r="R37" s="57">
        <f t="shared" si="2"/>
        <v>4.1103520011354364</v>
      </c>
    </row>
    <row r="38" spans="1:18" x14ac:dyDescent="0.3">
      <c r="A38" s="42">
        <v>37</v>
      </c>
      <c r="B38" s="42">
        <v>838</v>
      </c>
      <c r="C38" s="42" t="s">
        <v>146</v>
      </c>
      <c r="D38" s="42" t="s">
        <v>184</v>
      </c>
      <c r="E38" s="42" t="s">
        <v>154</v>
      </c>
      <c r="F38" s="42" t="s">
        <v>9</v>
      </c>
      <c r="G38" s="42" t="s">
        <v>10</v>
      </c>
      <c r="H38" s="42" t="s">
        <v>20</v>
      </c>
      <c r="I38" s="42">
        <v>3</v>
      </c>
      <c r="J38" s="42" t="s">
        <v>12</v>
      </c>
      <c r="K38" s="43">
        <v>374.66649999999998</v>
      </c>
      <c r="L38" s="42">
        <v>55575</v>
      </c>
      <c r="M38" s="42" t="s">
        <v>186</v>
      </c>
      <c r="N38" s="44">
        <f t="shared" si="0"/>
        <v>6.7416374269005843E-3</v>
      </c>
      <c r="O38" s="44">
        <f>+VLOOKUP(J38,TC!$B$6:$C$17,2,0)*PRECIOS!N38</f>
        <v>5.6823207242080231</v>
      </c>
      <c r="P38" s="42" t="str">
        <f t="shared" si="1"/>
        <v>No</v>
      </c>
      <c r="Q38" s="44">
        <f>+IF(I38=1,O38,IF(I38=2,O38/(1+MRI!$C$18),(O38/(1+MRI!$D$18))/(1+MRI!$C$18)))</f>
        <v>4.3439616830982768</v>
      </c>
      <c r="R38" s="44" t="str">
        <f t="shared" si="2"/>
        <v/>
      </c>
    </row>
    <row r="39" spans="1:18" x14ac:dyDescent="0.3">
      <c r="A39" s="55">
        <v>38</v>
      </c>
      <c r="B39" s="55">
        <v>838</v>
      </c>
      <c r="C39" s="55" t="s">
        <v>146</v>
      </c>
      <c r="D39" s="55" t="s">
        <v>184</v>
      </c>
      <c r="E39" s="55" t="s">
        <v>154</v>
      </c>
      <c r="F39" s="55" t="s">
        <v>9</v>
      </c>
      <c r="G39" s="55" t="s">
        <v>10</v>
      </c>
      <c r="H39" s="55" t="s">
        <v>13</v>
      </c>
      <c r="I39" s="55">
        <v>2</v>
      </c>
      <c r="J39" s="55" t="s">
        <v>12</v>
      </c>
      <c r="K39" s="56">
        <v>212.66799999999998</v>
      </c>
      <c r="L39" s="55">
        <v>55575</v>
      </c>
      <c r="M39" s="55" t="s">
        <v>186</v>
      </c>
      <c r="N39" s="57">
        <f t="shared" si="0"/>
        <v>3.8266846603688706E-3</v>
      </c>
      <c r="O39" s="57">
        <f>+VLOOKUP(J39,TC!$B$6:$C$17,2,0)*PRECIOS!N39</f>
        <v>3.2253958754675738</v>
      </c>
      <c r="P39" s="55" t="str">
        <f t="shared" si="1"/>
        <v>No</v>
      </c>
      <c r="Q39" s="57">
        <f>+IF(I39=1,O39,IF(I39=2,O39/(1+MRI!$C$18),(O39/(1+MRI!$D$18))/(1+MRI!$C$18)))</f>
        <v>2.9437120677085433</v>
      </c>
      <c r="R39" s="57" t="str">
        <f t="shared" si="2"/>
        <v/>
      </c>
    </row>
    <row r="40" spans="1:18" x14ac:dyDescent="0.3">
      <c r="A40" s="42">
        <v>39</v>
      </c>
      <c r="B40" s="42">
        <v>838</v>
      </c>
      <c r="C40" s="42" t="s">
        <v>155</v>
      </c>
      <c r="D40" s="42" t="s">
        <v>184</v>
      </c>
      <c r="E40" s="42" t="s">
        <v>149</v>
      </c>
      <c r="F40" s="42" t="s">
        <v>15</v>
      </c>
      <c r="G40" s="42" t="s">
        <v>51</v>
      </c>
      <c r="H40" s="42" t="s">
        <v>13</v>
      </c>
      <c r="I40" s="42">
        <v>2</v>
      </c>
      <c r="J40" s="42" t="s">
        <v>17</v>
      </c>
      <c r="K40" s="43">
        <v>24100</v>
      </c>
      <c r="L40" s="42">
        <v>84750</v>
      </c>
      <c r="M40" s="42" t="s">
        <v>186</v>
      </c>
      <c r="N40" s="44">
        <f t="shared" si="0"/>
        <v>0.28436578171091448</v>
      </c>
      <c r="O40" s="44">
        <f>+VLOOKUP(J40,TC!$B$6:$C$17,2,0)*PRECIOS!N40</f>
        <v>1.4291463422287953</v>
      </c>
      <c r="P40" s="42" t="str">
        <f t="shared" si="1"/>
        <v>Si</v>
      </c>
      <c r="Q40" s="44">
        <f>+IF(I40=1,O40,IF(I40=2,O40/(1+MRI!$C$18),(O40/(1+MRI!$D$18))/(1+MRI!$C$18)))</f>
        <v>1.3043345674678013</v>
      </c>
      <c r="R40" s="44">
        <f t="shared" si="2"/>
        <v>1.3043345674678013</v>
      </c>
    </row>
    <row r="41" spans="1:18" x14ac:dyDescent="0.3">
      <c r="A41" s="55">
        <v>40</v>
      </c>
      <c r="B41" s="55">
        <v>838</v>
      </c>
      <c r="C41" s="55" t="s">
        <v>155</v>
      </c>
      <c r="D41" s="55" t="s">
        <v>184</v>
      </c>
      <c r="E41" s="55" t="s">
        <v>148</v>
      </c>
      <c r="F41" s="55" t="s">
        <v>15</v>
      </c>
      <c r="G41" s="55" t="s">
        <v>51</v>
      </c>
      <c r="H41" s="55" t="s">
        <v>13</v>
      </c>
      <c r="I41" s="55">
        <v>2</v>
      </c>
      <c r="J41" s="55" t="s">
        <v>17</v>
      </c>
      <c r="K41" s="56">
        <v>22400</v>
      </c>
      <c r="L41" s="55">
        <v>67800</v>
      </c>
      <c r="M41" s="55" t="s">
        <v>186</v>
      </c>
      <c r="N41" s="57">
        <f t="shared" si="0"/>
        <v>0.3303834808259587</v>
      </c>
      <c r="O41" s="57">
        <f>+VLOOKUP(J41,TC!$B$6:$C$17,2,0)*PRECIOS!N41</f>
        <v>1.6604189868218369</v>
      </c>
      <c r="P41" s="55" t="str">
        <f t="shared" si="1"/>
        <v>Si</v>
      </c>
      <c r="Q41" s="57">
        <f>+IF(I41=1,O41,IF(I41=2,O41/(1+MRI!$C$18),(O41/(1+MRI!$D$18))/(1+MRI!$C$18)))</f>
        <v>1.5154094559791882</v>
      </c>
      <c r="R41" s="57">
        <f t="shared" si="2"/>
        <v>1.5154094559791882</v>
      </c>
    </row>
    <row r="42" spans="1:18" x14ac:dyDescent="0.3">
      <c r="A42" s="42">
        <v>41</v>
      </c>
      <c r="B42" s="42">
        <v>838</v>
      </c>
      <c r="C42" s="42" t="s">
        <v>156</v>
      </c>
      <c r="D42" s="42" t="s">
        <v>184</v>
      </c>
      <c r="E42" s="42" t="s">
        <v>150</v>
      </c>
      <c r="F42" s="42" t="s">
        <v>23</v>
      </c>
      <c r="G42" s="42" t="s">
        <v>24</v>
      </c>
      <c r="H42" s="42" t="s">
        <v>13</v>
      </c>
      <c r="I42" s="42">
        <v>2</v>
      </c>
      <c r="J42" s="42" t="s">
        <v>25</v>
      </c>
      <c r="K42" s="43">
        <v>320.08999999999997</v>
      </c>
      <c r="L42" s="42">
        <v>50850</v>
      </c>
      <c r="M42" s="42" t="s">
        <v>186</v>
      </c>
      <c r="N42" s="44">
        <f t="shared" si="0"/>
        <v>6.294788593903638E-3</v>
      </c>
      <c r="O42" s="44">
        <f>+VLOOKUP(J42,TC!$B$6:$C$17,2,0)*PRECIOS!N42</f>
        <v>27.014905393924405</v>
      </c>
      <c r="P42" s="42" t="str">
        <f t="shared" si="1"/>
        <v>Si</v>
      </c>
      <c r="Q42" s="44">
        <f>+IF(I42=1,O42,IF(I42=2,O42/(1+MRI!$C$18),(O42/(1+MRI!$D$18))/(1+MRI!$C$18)))</f>
        <v>24.655610066646958</v>
      </c>
      <c r="R42" s="44">
        <f t="shared" si="2"/>
        <v>24.655610066646958</v>
      </c>
    </row>
    <row r="43" spans="1:18" x14ac:dyDescent="0.3">
      <c r="A43" s="55">
        <v>42</v>
      </c>
      <c r="B43" s="55">
        <v>838</v>
      </c>
      <c r="C43" s="55" t="s">
        <v>156</v>
      </c>
      <c r="D43" s="55" t="s">
        <v>184</v>
      </c>
      <c r="E43" s="55" t="s">
        <v>148</v>
      </c>
      <c r="F43" s="55" t="s">
        <v>23</v>
      </c>
      <c r="G43" s="55" t="s">
        <v>24</v>
      </c>
      <c r="H43" s="55" t="s">
        <v>13</v>
      </c>
      <c r="I43" s="55">
        <v>2</v>
      </c>
      <c r="J43" s="55" t="s">
        <v>25</v>
      </c>
      <c r="K43" s="56">
        <v>157.96</v>
      </c>
      <c r="L43" s="55">
        <v>67800</v>
      </c>
      <c r="M43" s="55" t="s">
        <v>186</v>
      </c>
      <c r="N43" s="57">
        <f t="shared" si="0"/>
        <v>2.3297935103244838E-3</v>
      </c>
      <c r="O43" s="57">
        <f>+VLOOKUP(J43,TC!$B$6:$C$17,2,0)*PRECIOS!N43</f>
        <v>9.9986123965704152</v>
      </c>
      <c r="P43" s="55" t="str">
        <f t="shared" si="1"/>
        <v>Si</v>
      </c>
      <c r="Q43" s="57">
        <f>+IF(I43=1,O43,IF(I43=2,O43/(1+MRI!$C$18),(O43/(1+MRI!$D$18))/(1+MRI!$C$18)))</f>
        <v>9.1254026198746132</v>
      </c>
      <c r="R43" s="57">
        <f t="shared" si="2"/>
        <v>9.1254026198746132</v>
      </c>
    </row>
    <row r="44" spans="1:18" x14ac:dyDescent="0.3">
      <c r="A44" s="42">
        <v>43</v>
      </c>
      <c r="B44" s="42">
        <v>838</v>
      </c>
      <c r="C44" s="42" t="s">
        <v>156</v>
      </c>
      <c r="D44" s="42" t="s">
        <v>184</v>
      </c>
      <c r="E44" s="42" t="s">
        <v>149</v>
      </c>
      <c r="F44" s="42" t="s">
        <v>23</v>
      </c>
      <c r="G44" s="42" t="s">
        <v>24</v>
      </c>
      <c r="H44" s="42" t="s">
        <v>13</v>
      </c>
      <c r="I44" s="42">
        <v>2</v>
      </c>
      <c r="J44" s="42" t="s">
        <v>25</v>
      </c>
      <c r="K44" s="43">
        <v>341.29</v>
      </c>
      <c r="L44" s="42">
        <v>84750</v>
      </c>
      <c r="M44" s="42" t="s">
        <v>186</v>
      </c>
      <c r="N44" s="44">
        <f t="shared" si="0"/>
        <v>4.0270206489675517E-3</v>
      </c>
      <c r="O44" s="44">
        <f>+VLOOKUP(J44,TC!$B$6:$C$17,2,0)*PRECIOS!N44</f>
        <v>17.282483792481727</v>
      </c>
      <c r="P44" s="42" t="str">
        <f t="shared" si="1"/>
        <v>Si</v>
      </c>
      <c r="Q44" s="44">
        <f>+IF(I44=1,O44,IF(I44=2,O44/(1+MRI!$C$18),(O44/(1+MRI!$D$18))/(1+MRI!$C$18)))</f>
        <v>15.773150975624242</v>
      </c>
      <c r="R44" s="44">
        <f t="shared" si="2"/>
        <v>15.773150975624242</v>
      </c>
    </row>
    <row r="45" spans="1:18" x14ac:dyDescent="0.3">
      <c r="A45" s="55">
        <v>44</v>
      </c>
      <c r="B45" s="55">
        <v>838</v>
      </c>
      <c r="C45" s="55" t="s">
        <v>156</v>
      </c>
      <c r="D45" s="55" t="s">
        <v>184</v>
      </c>
      <c r="E45" s="55" t="s">
        <v>157</v>
      </c>
      <c r="F45" s="55" t="s">
        <v>23</v>
      </c>
      <c r="G45" s="55" t="s">
        <v>24</v>
      </c>
      <c r="H45" s="55" t="s">
        <v>13</v>
      </c>
      <c r="I45" s="55">
        <v>2</v>
      </c>
      <c r="J45" s="55" t="s">
        <v>25</v>
      </c>
      <c r="K45" s="56">
        <v>316.5</v>
      </c>
      <c r="L45" s="55">
        <v>101700</v>
      </c>
      <c r="M45" s="55" t="s">
        <v>186</v>
      </c>
      <c r="N45" s="57">
        <f t="shared" si="0"/>
        <v>3.1120943952802358E-3</v>
      </c>
      <c r="O45" s="57">
        <f>+VLOOKUP(J45,TC!$B$6:$C$17,2,0)*PRECIOS!N45</f>
        <v>13.355958569741437</v>
      </c>
      <c r="P45" s="55" t="str">
        <f t="shared" si="1"/>
        <v>Si</v>
      </c>
      <c r="Q45" s="57">
        <f>+IF(I45=1,O45,IF(I45=2,O45/(1+MRI!$C$18),(O45/(1+MRI!$D$18))/(1+MRI!$C$18)))</f>
        <v>12.189541357264771</v>
      </c>
      <c r="R45" s="57">
        <f t="shared" si="2"/>
        <v>12.189541357264771</v>
      </c>
    </row>
    <row r="46" spans="1:18" x14ac:dyDescent="0.3">
      <c r="A46" s="42">
        <v>45</v>
      </c>
      <c r="B46" s="42">
        <v>838</v>
      </c>
      <c r="C46" s="42" t="s">
        <v>156</v>
      </c>
      <c r="D46" s="42" t="s">
        <v>184</v>
      </c>
      <c r="E46" s="42" t="s">
        <v>158</v>
      </c>
      <c r="F46" s="42" t="s">
        <v>23</v>
      </c>
      <c r="G46" s="42" t="s">
        <v>24</v>
      </c>
      <c r="H46" s="42" t="s">
        <v>13</v>
      </c>
      <c r="I46" s="42">
        <v>2</v>
      </c>
      <c r="J46" s="42" t="s">
        <v>25</v>
      </c>
      <c r="K46" s="43">
        <v>55.59</v>
      </c>
      <c r="L46" s="42">
        <v>13560</v>
      </c>
      <c r="M46" s="42" t="s">
        <v>186</v>
      </c>
      <c r="N46" s="44">
        <f t="shared" si="0"/>
        <v>4.0995575221238938E-3</v>
      </c>
      <c r="O46" s="44">
        <f>+VLOOKUP(J46,TC!$B$6:$C$17,2,0)*PRECIOS!N46</f>
        <v>17.593785234405843</v>
      </c>
      <c r="P46" s="42" t="str">
        <f t="shared" si="1"/>
        <v>Si</v>
      </c>
      <c r="Q46" s="44">
        <f>+IF(I46=1,O46,IF(I46=2,O46/(1+MRI!$C$18),(O46/(1+MRI!$D$18))/(1+MRI!$C$18)))</f>
        <v>16.05726549882343</v>
      </c>
      <c r="R46" s="44">
        <f t="shared" si="2"/>
        <v>16.05726549882343</v>
      </c>
    </row>
    <row r="47" spans="1:18" x14ac:dyDescent="0.3">
      <c r="A47" s="55">
        <v>46</v>
      </c>
      <c r="B47" s="55">
        <v>838</v>
      </c>
      <c r="C47" s="55" t="s">
        <v>156</v>
      </c>
      <c r="D47" s="55" t="s">
        <v>184</v>
      </c>
      <c r="E47" s="55" t="s">
        <v>159</v>
      </c>
      <c r="F47" s="55" t="s">
        <v>23</v>
      </c>
      <c r="G47" s="55" t="s">
        <v>24</v>
      </c>
      <c r="H47" s="55" t="s">
        <v>13</v>
      </c>
      <c r="I47" s="55">
        <v>2</v>
      </c>
      <c r="J47" s="55" t="s">
        <v>25</v>
      </c>
      <c r="K47" s="56">
        <v>166.04</v>
      </c>
      <c r="L47" s="55">
        <v>20340</v>
      </c>
      <c r="M47" s="55" t="s">
        <v>186</v>
      </c>
      <c r="N47" s="57">
        <f t="shared" si="0"/>
        <v>8.1632251720747291E-3</v>
      </c>
      <c r="O47" s="57">
        <f>+VLOOKUP(J47,TC!$B$6:$C$17,2,0)*PRECIOS!N47</f>
        <v>35.033544406317034</v>
      </c>
      <c r="P47" s="55" t="str">
        <f t="shared" si="1"/>
        <v>Si</v>
      </c>
      <c r="Q47" s="57">
        <f>+IF(I47=1,O47,IF(I47=2,O47/(1+MRI!$C$18),(O47/(1+MRI!$D$18))/(1+MRI!$C$18)))</f>
        <v>31.973956508060702</v>
      </c>
      <c r="R47" s="57">
        <f t="shared" si="2"/>
        <v>31.973956508060702</v>
      </c>
    </row>
    <row r="48" spans="1:18" x14ac:dyDescent="0.3">
      <c r="A48" s="42">
        <v>47</v>
      </c>
      <c r="B48" s="42">
        <v>838</v>
      </c>
      <c r="C48" s="42" t="s">
        <v>156</v>
      </c>
      <c r="D48" s="42" t="s">
        <v>184</v>
      </c>
      <c r="E48" s="42" t="s">
        <v>147</v>
      </c>
      <c r="F48" s="42" t="s">
        <v>23</v>
      </c>
      <c r="G48" s="42" t="s">
        <v>24</v>
      </c>
      <c r="H48" s="42" t="s">
        <v>13</v>
      </c>
      <c r="I48" s="42">
        <v>2</v>
      </c>
      <c r="J48" s="42" t="s">
        <v>25</v>
      </c>
      <c r="K48" s="43">
        <v>209.3</v>
      </c>
      <c r="L48" s="42">
        <v>33900</v>
      </c>
      <c r="M48" s="42" t="s">
        <v>186</v>
      </c>
      <c r="N48" s="44">
        <f t="shared" si="0"/>
        <v>6.1740412979351036E-3</v>
      </c>
      <c r="O48" s="44">
        <f>+VLOOKUP(J48,TC!$B$6:$C$17,2,0)*PRECIOS!N48</f>
        <v>26.496702641202685</v>
      </c>
      <c r="P48" s="42" t="str">
        <f t="shared" si="1"/>
        <v>Si</v>
      </c>
      <c r="Q48" s="44">
        <f>+IF(I48=1,O48,IF(I48=2,O48/(1+MRI!$C$18),(O48/(1+MRI!$D$18))/(1+MRI!$C$18)))</f>
        <v>24.182663564696842</v>
      </c>
      <c r="R48" s="44">
        <f t="shared" si="2"/>
        <v>24.182663564696842</v>
      </c>
    </row>
    <row r="49" spans="1:18" x14ac:dyDescent="0.3">
      <c r="A49" s="55">
        <v>48</v>
      </c>
      <c r="B49" s="55">
        <v>838</v>
      </c>
      <c r="C49" s="55" t="s">
        <v>156</v>
      </c>
      <c r="D49" s="55" t="s">
        <v>184</v>
      </c>
      <c r="E49" s="55" t="s">
        <v>160</v>
      </c>
      <c r="F49" s="55" t="s">
        <v>23</v>
      </c>
      <c r="G49" s="55" t="s">
        <v>24</v>
      </c>
      <c r="H49" s="55" t="s">
        <v>13</v>
      </c>
      <c r="I49" s="55">
        <v>2</v>
      </c>
      <c r="J49" s="55" t="s">
        <v>25</v>
      </c>
      <c r="K49" s="56">
        <v>418.95</v>
      </c>
      <c r="L49" s="55">
        <v>135600</v>
      </c>
      <c r="M49" s="55" t="s">
        <v>186</v>
      </c>
      <c r="N49" s="57">
        <f t="shared" si="0"/>
        <v>3.0896017699115043E-3</v>
      </c>
      <c r="O49" s="57">
        <f>+VLOOKUP(J49,TC!$B$6:$C$17,2,0)*PRECIOS!N49</f>
        <v>13.259428537424586</v>
      </c>
      <c r="P49" s="55" t="str">
        <f t="shared" si="1"/>
        <v>Si</v>
      </c>
      <c r="Q49" s="57">
        <f>+IF(I49=1,O49,IF(I49=2,O49/(1+MRI!$C$18),(O49/(1+MRI!$D$18))/(1+MRI!$C$18)))</f>
        <v>12.101441591530985</v>
      </c>
      <c r="R49" s="57">
        <f t="shared" si="2"/>
        <v>12.101441591530985</v>
      </c>
    </row>
    <row r="50" spans="1:18" x14ac:dyDescent="0.3">
      <c r="A50" s="42">
        <v>49</v>
      </c>
      <c r="B50" s="42">
        <v>838</v>
      </c>
      <c r="C50" s="42" t="s">
        <v>161</v>
      </c>
      <c r="D50" s="42" t="s">
        <v>184</v>
      </c>
      <c r="E50" s="42" t="s">
        <v>162</v>
      </c>
      <c r="F50" s="42" t="s">
        <v>39</v>
      </c>
      <c r="G50" s="42" t="s">
        <v>163</v>
      </c>
      <c r="H50" s="42" t="s">
        <v>11</v>
      </c>
      <c r="I50" s="42">
        <v>1</v>
      </c>
      <c r="J50" s="42" t="s">
        <v>40</v>
      </c>
      <c r="K50" s="43">
        <v>30</v>
      </c>
      <c r="L50" s="42">
        <v>63600</v>
      </c>
      <c r="M50" s="42" t="s">
        <v>186</v>
      </c>
      <c r="N50" s="44">
        <f t="shared" si="0"/>
        <v>4.7169811320754717E-4</v>
      </c>
      <c r="O50" s="44">
        <f>+VLOOKUP(J50,TC!$B$6:$C$17,2,0)*PRECIOS!N50</f>
        <v>2.1586797205902681</v>
      </c>
      <c r="P50" s="42" t="str">
        <f t="shared" si="1"/>
        <v>Si</v>
      </c>
      <c r="Q50" s="44">
        <f>+IF(I50=1,O50,IF(I50=2,O50/(1+MRI!$C$18),(O50/(1+MRI!$D$18))/(1+MRI!$C$18)))</f>
        <v>2.1586797205902681</v>
      </c>
      <c r="R50" s="44">
        <f t="shared" si="2"/>
        <v>2.1586797205902681</v>
      </c>
    </row>
    <row r="51" spans="1:18" x14ac:dyDescent="0.3">
      <c r="A51" s="55">
        <v>50</v>
      </c>
      <c r="B51" s="55">
        <v>838</v>
      </c>
      <c r="C51" s="55" t="s">
        <v>161</v>
      </c>
      <c r="D51" s="55" t="s">
        <v>184</v>
      </c>
      <c r="E51" s="55" t="s">
        <v>162</v>
      </c>
      <c r="F51" s="55" t="s">
        <v>39</v>
      </c>
      <c r="G51" s="55" t="s">
        <v>163</v>
      </c>
      <c r="H51" s="55" t="s">
        <v>20</v>
      </c>
      <c r="I51" s="55">
        <v>3</v>
      </c>
      <c r="J51" s="55" t="s">
        <v>40</v>
      </c>
      <c r="K51" s="56">
        <v>34.85</v>
      </c>
      <c r="L51" s="55">
        <v>63600</v>
      </c>
      <c r="M51" s="55" t="s">
        <v>186</v>
      </c>
      <c r="N51" s="57">
        <f t="shared" si="0"/>
        <v>5.4795597484276731E-4</v>
      </c>
      <c r="O51" s="57">
        <f>+VLOOKUP(J51,TC!$B$6:$C$17,2,0)*PRECIOS!N51</f>
        <v>2.5076662754190284</v>
      </c>
      <c r="P51" s="55" t="str">
        <f t="shared" si="1"/>
        <v>No</v>
      </c>
      <c r="Q51" s="57">
        <f>+IF(I51=1,O51,IF(I51=2,O51/(1+MRI!$C$18),(O51/(1+MRI!$D$18))/(1+MRI!$C$18)))</f>
        <v>1.917034736883191</v>
      </c>
      <c r="R51" s="57" t="str">
        <f t="shared" si="2"/>
        <v/>
      </c>
    </row>
    <row r="52" spans="1:18" x14ac:dyDescent="0.3">
      <c r="A52" s="42">
        <v>51</v>
      </c>
      <c r="B52" s="42">
        <v>838</v>
      </c>
      <c r="C52" s="42" t="s">
        <v>161</v>
      </c>
      <c r="D52" s="42" t="s">
        <v>184</v>
      </c>
      <c r="E52" s="42" t="s">
        <v>164</v>
      </c>
      <c r="F52" s="42" t="s">
        <v>39</v>
      </c>
      <c r="G52" s="42" t="s">
        <v>163</v>
      </c>
      <c r="H52" s="42" t="s">
        <v>11</v>
      </c>
      <c r="I52" s="42">
        <v>1</v>
      </c>
      <c r="J52" s="42" t="s">
        <v>40</v>
      </c>
      <c r="K52" s="43">
        <v>15.75</v>
      </c>
      <c r="L52" s="42">
        <v>31800</v>
      </c>
      <c r="M52" s="42" t="s">
        <v>186</v>
      </c>
      <c r="N52" s="44">
        <f t="shared" si="0"/>
        <v>4.9528301886792448E-4</v>
      </c>
      <c r="O52" s="44">
        <f>+VLOOKUP(J52,TC!$B$6:$C$17,2,0)*PRECIOS!N52</f>
        <v>2.2666137066197813</v>
      </c>
      <c r="P52" s="42" t="str">
        <f t="shared" si="1"/>
        <v>Si</v>
      </c>
      <c r="Q52" s="44">
        <f>+IF(I52=1,O52,IF(I52=2,O52/(1+MRI!$C$18),(O52/(1+MRI!$D$18))/(1+MRI!$C$18)))</f>
        <v>2.2666137066197813</v>
      </c>
      <c r="R52" s="44">
        <f t="shared" si="2"/>
        <v>2.2666137066197813</v>
      </c>
    </row>
    <row r="53" spans="1:18" x14ac:dyDescent="0.3">
      <c r="A53" s="55">
        <v>52</v>
      </c>
      <c r="B53" s="55">
        <v>838</v>
      </c>
      <c r="C53" s="55" t="s">
        <v>161</v>
      </c>
      <c r="D53" s="55" t="s">
        <v>184</v>
      </c>
      <c r="E53" s="55" t="s">
        <v>164</v>
      </c>
      <c r="F53" s="55" t="s">
        <v>39</v>
      </c>
      <c r="G53" s="55" t="s">
        <v>163</v>
      </c>
      <c r="H53" s="55" t="s">
        <v>20</v>
      </c>
      <c r="I53" s="55">
        <v>3</v>
      </c>
      <c r="J53" s="55" t="s">
        <v>40</v>
      </c>
      <c r="K53" s="56">
        <v>18.38</v>
      </c>
      <c r="L53" s="55">
        <v>31800</v>
      </c>
      <c r="M53" s="55" t="s">
        <v>186</v>
      </c>
      <c r="N53" s="57">
        <f t="shared" si="0"/>
        <v>5.7798742138364778E-4</v>
      </c>
      <c r="O53" s="57">
        <f>+VLOOKUP(J53,TC!$B$6:$C$17,2,0)*PRECIOS!N53</f>
        <v>2.6451022176299421</v>
      </c>
      <c r="P53" s="55" t="str">
        <f t="shared" si="1"/>
        <v>No</v>
      </c>
      <c r="Q53" s="57">
        <f>+IF(I53=1,O53,IF(I53=2,O53/(1+MRI!$C$18),(O53/(1+MRI!$D$18))/(1+MRI!$C$18)))</f>
        <v>2.0221003422618677</v>
      </c>
      <c r="R53" s="57" t="str">
        <f t="shared" si="2"/>
        <v/>
      </c>
    </row>
    <row r="54" spans="1:18" x14ac:dyDescent="0.3">
      <c r="A54" s="42">
        <v>53</v>
      </c>
      <c r="B54" s="42">
        <v>838</v>
      </c>
      <c r="C54" s="42" t="s">
        <v>161</v>
      </c>
      <c r="D54" s="42" t="s">
        <v>184</v>
      </c>
      <c r="E54" s="42" t="s">
        <v>165</v>
      </c>
      <c r="F54" s="42" t="s">
        <v>39</v>
      </c>
      <c r="G54" s="42" t="s">
        <v>163</v>
      </c>
      <c r="H54" s="42" t="s">
        <v>11</v>
      </c>
      <c r="I54" s="42">
        <v>1</v>
      </c>
      <c r="J54" s="42" t="s">
        <v>40</v>
      </c>
      <c r="K54" s="43">
        <v>15</v>
      </c>
      <c r="L54" s="42">
        <v>47700</v>
      </c>
      <c r="M54" s="42" t="s">
        <v>186</v>
      </c>
      <c r="N54" s="44">
        <f t="shared" si="0"/>
        <v>3.1446540880503143E-4</v>
      </c>
      <c r="O54" s="44">
        <f>+VLOOKUP(J54,TC!$B$6:$C$17,2,0)*PRECIOS!N54</f>
        <v>1.4391198137268455</v>
      </c>
      <c r="P54" s="42" t="str">
        <f t="shared" si="1"/>
        <v>Si</v>
      </c>
      <c r="Q54" s="44">
        <f>+IF(I54=1,O54,IF(I54=2,O54/(1+MRI!$C$18),(O54/(1+MRI!$D$18))/(1+MRI!$C$18)))</f>
        <v>1.4391198137268455</v>
      </c>
      <c r="R54" s="44">
        <f t="shared" si="2"/>
        <v>1.4391198137268455</v>
      </c>
    </row>
    <row r="55" spans="1:18" x14ac:dyDescent="0.3">
      <c r="A55" s="55">
        <v>54</v>
      </c>
      <c r="B55" s="55">
        <v>838</v>
      </c>
      <c r="C55" s="55" t="s">
        <v>161</v>
      </c>
      <c r="D55" s="55" t="s">
        <v>184</v>
      </c>
      <c r="E55" s="55" t="s">
        <v>165</v>
      </c>
      <c r="F55" s="55" t="s">
        <v>39</v>
      </c>
      <c r="G55" s="55" t="s">
        <v>163</v>
      </c>
      <c r="H55" s="55" t="s">
        <v>20</v>
      </c>
      <c r="I55" s="55">
        <v>3</v>
      </c>
      <c r="J55" s="55" t="s">
        <v>40</v>
      </c>
      <c r="K55" s="56">
        <v>17.510000000000002</v>
      </c>
      <c r="L55" s="55">
        <v>47700</v>
      </c>
      <c r="M55" s="55" t="s">
        <v>186</v>
      </c>
      <c r="N55" s="57">
        <f t="shared" si="0"/>
        <v>3.6708595387840672E-4</v>
      </c>
      <c r="O55" s="57">
        <f>+VLOOKUP(J55,TC!$B$6:$C$17,2,0)*PRECIOS!N55</f>
        <v>1.6799325292238043</v>
      </c>
      <c r="P55" s="55" t="str">
        <f t="shared" si="1"/>
        <v>No</v>
      </c>
      <c r="Q55" s="57">
        <f>+IF(I55=1,O55,IF(I55=2,O55/(1+MRI!$C$18),(O55/(1+MRI!$D$18))/(1+MRI!$C$18)))</f>
        <v>1.2842574172290644</v>
      </c>
      <c r="R55" s="57" t="str">
        <f t="shared" si="2"/>
        <v/>
      </c>
    </row>
    <row r="56" spans="1:18" x14ac:dyDescent="0.3">
      <c r="A56" s="42">
        <v>55</v>
      </c>
      <c r="B56" s="42">
        <v>838</v>
      </c>
      <c r="C56" s="42" t="s">
        <v>161</v>
      </c>
      <c r="D56" s="42" t="s">
        <v>184</v>
      </c>
      <c r="E56" s="42" t="s">
        <v>166</v>
      </c>
      <c r="F56" s="42" t="s">
        <v>39</v>
      </c>
      <c r="G56" s="42" t="s">
        <v>163</v>
      </c>
      <c r="H56" s="42" t="s">
        <v>11</v>
      </c>
      <c r="I56" s="42">
        <v>1</v>
      </c>
      <c r="J56" s="42" t="s">
        <v>40</v>
      </c>
      <c r="K56" s="43">
        <v>57</v>
      </c>
      <c r="L56" s="42">
        <v>127200</v>
      </c>
      <c r="M56" s="42" t="s">
        <v>186</v>
      </c>
      <c r="N56" s="44">
        <f t="shared" si="0"/>
        <v>4.4811320754716981E-4</v>
      </c>
      <c r="O56" s="44">
        <f>+VLOOKUP(J56,TC!$B$6:$C$17,2,0)*PRECIOS!N56</f>
        <v>2.0507457345607549</v>
      </c>
      <c r="P56" s="42" t="str">
        <f t="shared" si="1"/>
        <v>Si</v>
      </c>
      <c r="Q56" s="44">
        <f>+IF(I56=1,O56,IF(I56=2,O56/(1+MRI!$C$18),(O56/(1+MRI!$D$18))/(1+MRI!$C$18)))</f>
        <v>2.0507457345607549</v>
      </c>
      <c r="R56" s="44">
        <f t="shared" si="2"/>
        <v>2.0507457345607549</v>
      </c>
    </row>
    <row r="57" spans="1:18" x14ac:dyDescent="0.3">
      <c r="A57" s="55">
        <v>56</v>
      </c>
      <c r="B57" s="55">
        <v>838</v>
      </c>
      <c r="C57" s="55" t="s">
        <v>161</v>
      </c>
      <c r="D57" s="55" t="s">
        <v>184</v>
      </c>
      <c r="E57" s="55" t="s">
        <v>166</v>
      </c>
      <c r="F57" s="55" t="s">
        <v>39</v>
      </c>
      <c r="G57" s="55" t="s">
        <v>163</v>
      </c>
      <c r="H57" s="55" t="s">
        <v>20</v>
      </c>
      <c r="I57" s="55">
        <v>3</v>
      </c>
      <c r="J57" s="55" t="s">
        <v>40</v>
      </c>
      <c r="K57" s="56">
        <v>65.84</v>
      </c>
      <c r="L57" s="55">
        <v>127200</v>
      </c>
      <c r="M57" s="55" t="s">
        <v>186</v>
      </c>
      <c r="N57" s="57">
        <f t="shared" si="0"/>
        <v>5.1761006289308175E-4</v>
      </c>
      <c r="O57" s="57">
        <f>+VLOOKUP(J57,TC!$B$6:$C$17,2,0)*PRECIOS!N57</f>
        <v>2.3687912133943878</v>
      </c>
      <c r="P57" s="55" t="str">
        <f t="shared" si="1"/>
        <v>No</v>
      </c>
      <c r="Q57" s="57">
        <f>+IF(I57=1,O57,IF(I57=2,O57/(1+MRI!$C$18),(O57/(1+MRI!$D$18))/(1+MRI!$C$18)))</f>
        <v>1.8108689680974071</v>
      </c>
      <c r="R57" s="57" t="str">
        <f t="shared" si="2"/>
        <v/>
      </c>
    </row>
    <row r="58" spans="1:18" x14ac:dyDescent="0.3">
      <c r="A58" s="42">
        <v>57</v>
      </c>
      <c r="B58" s="42">
        <v>838</v>
      </c>
      <c r="C58" s="42" t="s">
        <v>167</v>
      </c>
      <c r="D58" s="42" t="s">
        <v>184</v>
      </c>
      <c r="E58" s="42" t="s">
        <v>164</v>
      </c>
      <c r="F58" s="42" t="s">
        <v>18</v>
      </c>
      <c r="G58" s="42" t="s">
        <v>19</v>
      </c>
      <c r="H58" s="42" t="s">
        <v>22</v>
      </c>
      <c r="I58" s="42">
        <v>2</v>
      </c>
      <c r="J58" s="42" t="s">
        <v>21</v>
      </c>
      <c r="K58" s="43">
        <v>107.52</v>
      </c>
      <c r="L58" s="42">
        <v>31800</v>
      </c>
      <c r="M58" s="42" t="s">
        <v>186</v>
      </c>
      <c r="N58" s="44">
        <f t="shared" si="0"/>
        <v>3.3811320754716981E-3</v>
      </c>
      <c r="O58" s="44">
        <f>+VLOOKUP(J58,TC!$B$6:$C$17,2,0)*PRECIOS!N58</f>
        <v>1.4443582565572566</v>
      </c>
      <c r="P58" s="42" t="str">
        <f t="shared" si="1"/>
        <v>Si</v>
      </c>
      <c r="Q58" s="44">
        <f>+IF(I58=1,O58,IF(I58=2,O58/(1+MRI!$C$18),(O58/(1+MRI!$D$18))/(1+MRI!$C$18)))</f>
        <v>1.3182179782212637</v>
      </c>
      <c r="R58" s="44">
        <f t="shared" si="2"/>
        <v>1.3182179782212637</v>
      </c>
    </row>
    <row r="59" spans="1:18" x14ac:dyDescent="0.3">
      <c r="A59" s="55">
        <v>58</v>
      </c>
      <c r="B59" s="55">
        <v>838</v>
      </c>
      <c r="C59" s="55" t="s">
        <v>167</v>
      </c>
      <c r="D59" s="55" t="s">
        <v>184</v>
      </c>
      <c r="E59" s="55" t="s">
        <v>164</v>
      </c>
      <c r="F59" s="55" t="s">
        <v>18</v>
      </c>
      <c r="G59" s="55" t="s">
        <v>19</v>
      </c>
      <c r="H59" s="55" t="s">
        <v>20</v>
      </c>
      <c r="I59" s="55">
        <v>3</v>
      </c>
      <c r="J59" s="55" t="s">
        <v>21</v>
      </c>
      <c r="K59" s="56">
        <v>173.3</v>
      </c>
      <c r="L59" s="55">
        <v>31800</v>
      </c>
      <c r="M59" s="55" t="s">
        <v>186</v>
      </c>
      <c r="N59" s="57">
        <f t="shared" si="0"/>
        <v>5.4496855345911952E-3</v>
      </c>
      <c r="O59" s="57">
        <f>+VLOOKUP(J59,TC!$B$6:$C$17,2,0)*PRECIOS!N59</f>
        <v>2.3280067509428251</v>
      </c>
      <c r="P59" s="55" t="str">
        <f t="shared" si="1"/>
        <v>No</v>
      </c>
      <c r="Q59" s="57">
        <f>+IF(I59=1,O59,IF(I59=2,O59/(1+MRI!$C$18),(O59/(1+MRI!$D$18))/(1+MRI!$C$18)))</f>
        <v>1.7796904847357449</v>
      </c>
      <c r="R59" s="57" t="str">
        <f t="shared" si="2"/>
        <v/>
      </c>
    </row>
    <row r="60" spans="1:18" x14ac:dyDescent="0.3">
      <c r="A60" s="42">
        <v>59</v>
      </c>
      <c r="B60" s="42">
        <v>838</v>
      </c>
      <c r="C60" s="42" t="s">
        <v>167</v>
      </c>
      <c r="D60" s="42" t="s">
        <v>184</v>
      </c>
      <c r="E60" s="42" t="s">
        <v>165</v>
      </c>
      <c r="F60" s="42" t="s">
        <v>18</v>
      </c>
      <c r="G60" s="42" t="s">
        <v>19</v>
      </c>
      <c r="H60" s="42" t="s">
        <v>22</v>
      </c>
      <c r="I60" s="42">
        <v>2</v>
      </c>
      <c r="J60" s="42" t="s">
        <v>21</v>
      </c>
      <c r="K60" s="43">
        <v>161.28</v>
      </c>
      <c r="L60" s="42">
        <v>47700</v>
      </c>
      <c r="M60" s="42" t="s">
        <v>186</v>
      </c>
      <c r="N60" s="44">
        <f t="shared" si="0"/>
        <v>3.3811320754716981E-3</v>
      </c>
      <c r="O60" s="44">
        <f>+VLOOKUP(J60,TC!$B$6:$C$17,2,0)*PRECIOS!N60</f>
        <v>1.4443582565572566</v>
      </c>
      <c r="P60" s="42" t="str">
        <f t="shared" si="1"/>
        <v>Si</v>
      </c>
      <c r="Q60" s="44">
        <f>+IF(I60=1,O60,IF(I60=2,O60/(1+MRI!$C$18),(O60/(1+MRI!$D$18))/(1+MRI!$C$18)))</f>
        <v>1.3182179782212637</v>
      </c>
      <c r="R60" s="44">
        <f t="shared" si="2"/>
        <v>1.3182179782212637</v>
      </c>
    </row>
    <row r="61" spans="1:18" x14ac:dyDescent="0.3">
      <c r="A61" s="55">
        <v>60</v>
      </c>
      <c r="B61" s="55">
        <v>838</v>
      </c>
      <c r="C61" s="55" t="s">
        <v>167</v>
      </c>
      <c r="D61" s="55" t="s">
        <v>184</v>
      </c>
      <c r="E61" s="55" t="s">
        <v>165</v>
      </c>
      <c r="F61" s="55" t="s">
        <v>18</v>
      </c>
      <c r="G61" s="55" t="s">
        <v>19</v>
      </c>
      <c r="H61" s="55" t="s">
        <v>20</v>
      </c>
      <c r="I61" s="55">
        <v>3</v>
      </c>
      <c r="J61" s="55" t="s">
        <v>21</v>
      </c>
      <c r="K61" s="56">
        <v>209.26</v>
      </c>
      <c r="L61" s="55">
        <v>47700</v>
      </c>
      <c r="M61" s="55" t="s">
        <v>186</v>
      </c>
      <c r="N61" s="57">
        <f t="shared" si="0"/>
        <v>4.3870020964360589E-3</v>
      </c>
      <c r="O61" s="57">
        <f>+VLOOKUP(J61,TC!$B$6:$C$17,2,0)*PRECIOS!N61</f>
        <v>1.8740476734075615</v>
      </c>
      <c r="P61" s="55" t="str">
        <f t="shared" si="1"/>
        <v>No</v>
      </c>
      <c r="Q61" s="57">
        <f>+IF(I61=1,O61,IF(I61=2,O61/(1+MRI!$C$18),(O61/(1+MRI!$D$18))/(1+MRI!$C$18)))</f>
        <v>1.4326525517822735</v>
      </c>
      <c r="R61" s="57" t="str">
        <f t="shared" si="2"/>
        <v/>
      </c>
    </row>
    <row r="62" spans="1:18" x14ac:dyDescent="0.3">
      <c r="A62" s="42">
        <v>61</v>
      </c>
      <c r="B62" s="42">
        <v>838</v>
      </c>
      <c r="C62" s="42" t="s">
        <v>167</v>
      </c>
      <c r="D62" s="42" t="s">
        <v>184</v>
      </c>
      <c r="E62" s="42" t="s">
        <v>162</v>
      </c>
      <c r="F62" s="42" t="s">
        <v>18</v>
      </c>
      <c r="G62" s="42" t="s">
        <v>19</v>
      </c>
      <c r="H62" s="42" t="s">
        <v>22</v>
      </c>
      <c r="I62" s="42">
        <v>2</v>
      </c>
      <c r="J62" s="42" t="s">
        <v>21</v>
      </c>
      <c r="K62" s="43">
        <v>182.71</v>
      </c>
      <c r="L62" s="42">
        <v>63600</v>
      </c>
      <c r="M62" s="42" t="s">
        <v>186</v>
      </c>
      <c r="N62" s="44">
        <f t="shared" si="0"/>
        <v>2.8727987421383648E-3</v>
      </c>
      <c r="O62" s="44">
        <f>+VLOOKUP(J62,TC!$B$6:$C$17,2,0)*PRECIOS!N62</f>
        <v>1.2272074825873156</v>
      </c>
      <c r="P62" s="42" t="str">
        <f t="shared" si="1"/>
        <v>Si</v>
      </c>
      <c r="Q62" s="44">
        <f>+IF(I62=1,O62,IF(I62=2,O62/(1+MRI!$C$18),(O62/(1+MRI!$D$18))/(1+MRI!$C$18)))</f>
        <v>1.1200316536495867</v>
      </c>
      <c r="R62" s="44">
        <f t="shared" si="2"/>
        <v>1.1200316536495867</v>
      </c>
    </row>
    <row r="63" spans="1:18" x14ac:dyDescent="0.3">
      <c r="A63" s="55">
        <v>62</v>
      </c>
      <c r="B63" s="55">
        <v>838</v>
      </c>
      <c r="C63" s="55" t="s">
        <v>167</v>
      </c>
      <c r="D63" s="55" t="s">
        <v>184</v>
      </c>
      <c r="E63" s="55" t="s">
        <v>162</v>
      </c>
      <c r="F63" s="55" t="s">
        <v>18</v>
      </c>
      <c r="G63" s="55" t="s">
        <v>19</v>
      </c>
      <c r="H63" s="55" t="s">
        <v>20</v>
      </c>
      <c r="I63" s="55">
        <v>3</v>
      </c>
      <c r="J63" s="55" t="s">
        <v>21</v>
      </c>
      <c r="K63" s="56">
        <v>269.2</v>
      </c>
      <c r="L63" s="55">
        <v>63600</v>
      </c>
      <c r="M63" s="55" t="s">
        <v>186</v>
      </c>
      <c r="N63" s="57">
        <f t="shared" si="0"/>
        <v>4.2327044025157233E-3</v>
      </c>
      <c r="O63" s="57">
        <f>+VLOOKUP(J63,TC!$B$6:$C$17,2,0)*PRECIOS!N63</f>
        <v>1.8081344990011787</v>
      </c>
      <c r="P63" s="55" t="str">
        <f t="shared" si="1"/>
        <v>No</v>
      </c>
      <c r="Q63" s="57">
        <f>+IF(I63=1,O63,IF(I63=2,O63/(1+MRI!$C$18),(O63/(1+MRI!$D$18))/(1+MRI!$C$18)))</f>
        <v>1.3822639310180684</v>
      </c>
      <c r="R63" s="57" t="str">
        <f t="shared" si="2"/>
        <v/>
      </c>
    </row>
    <row r="64" spans="1:18" x14ac:dyDescent="0.3">
      <c r="A64" s="42">
        <v>63</v>
      </c>
      <c r="B64" s="42">
        <v>838</v>
      </c>
      <c r="C64" s="42" t="s">
        <v>167</v>
      </c>
      <c r="D64" s="42" t="s">
        <v>184</v>
      </c>
      <c r="E64" s="42" t="s">
        <v>168</v>
      </c>
      <c r="F64" s="42" t="s">
        <v>18</v>
      </c>
      <c r="G64" s="42" t="s">
        <v>19</v>
      </c>
      <c r="H64" s="42" t="s">
        <v>22</v>
      </c>
      <c r="I64" s="42">
        <v>2</v>
      </c>
      <c r="J64" s="42" t="s">
        <v>21</v>
      </c>
      <c r="K64" s="43">
        <v>274.07</v>
      </c>
      <c r="L64" s="42">
        <v>95400</v>
      </c>
      <c r="M64" s="42" t="s">
        <v>186</v>
      </c>
      <c r="N64" s="44">
        <f t="shared" si="0"/>
        <v>2.8728511530398322E-3</v>
      </c>
      <c r="O64" s="44">
        <f>+VLOOKUP(J64,TC!$B$6:$C$17,2,0)*PRECIOS!N64</f>
        <v>1.2272298715731873</v>
      </c>
      <c r="P64" s="42" t="str">
        <f t="shared" si="1"/>
        <v>Si</v>
      </c>
      <c r="Q64" s="44">
        <f>+IF(I64=1,O64,IF(I64=2,O64/(1+MRI!$C$18),(O64/(1+MRI!$D$18))/(1+MRI!$C$18)))</f>
        <v>1.1200520873360049</v>
      </c>
      <c r="R64" s="44">
        <f t="shared" si="2"/>
        <v>1.1200520873360049</v>
      </c>
    </row>
    <row r="65" spans="1:18" x14ac:dyDescent="0.3">
      <c r="A65" s="55">
        <v>64</v>
      </c>
      <c r="B65" s="55">
        <v>838</v>
      </c>
      <c r="C65" s="55" t="s">
        <v>167</v>
      </c>
      <c r="D65" s="55" t="s">
        <v>184</v>
      </c>
      <c r="E65" s="55" t="s">
        <v>168</v>
      </c>
      <c r="F65" s="55" t="s">
        <v>18</v>
      </c>
      <c r="G65" s="55" t="s">
        <v>19</v>
      </c>
      <c r="H65" s="55" t="s">
        <v>20</v>
      </c>
      <c r="I65" s="55">
        <v>3</v>
      </c>
      <c r="J65" s="55" t="s">
        <v>21</v>
      </c>
      <c r="K65" s="56">
        <v>385.7</v>
      </c>
      <c r="L65" s="55">
        <v>95400</v>
      </c>
      <c r="M65" s="55" t="s">
        <v>186</v>
      </c>
      <c r="N65" s="57">
        <f t="shared" si="0"/>
        <v>4.0429769392033542E-3</v>
      </c>
      <c r="O65" s="57">
        <f>+VLOOKUP(J65,TC!$B$6:$C$17,2,0)*PRECIOS!N65</f>
        <v>1.7270863701455041</v>
      </c>
      <c r="P65" s="55" t="str">
        <f t="shared" si="1"/>
        <v>No</v>
      </c>
      <c r="Q65" s="57">
        <f>+IF(I65=1,O65,IF(I65=2,O65/(1+MRI!$C$18),(O65/(1+MRI!$D$18))/(1+MRI!$C$18)))</f>
        <v>1.3203050970620827</v>
      </c>
      <c r="R65" s="57" t="str">
        <f t="shared" si="2"/>
        <v/>
      </c>
    </row>
    <row r="66" spans="1:18" x14ac:dyDescent="0.3">
      <c r="A66" s="42">
        <v>65</v>
      </c>
      <c r="B66" s="42">
        <v>838</v>
      </c>
      <c r="C66" s="42" t="s">
        <v>167</v>
      </c>
      <c r="D66" s="42" t="s">
        <v>184</v>
      </c>
      <c r="E66" s="42" t="s">
        <v>158</v>
      </c>
      <c r="F66" s="42" t="s">
        <v>18</v>
      </c>
      <c r="G66" s="42" t="s">
        <v>19</v>
      </c>
      <c r="H66" s="42" t="s">
        <v>22</v>
      </c>
      <c r="I66" s="42">
        <v>2</v>
      </c>
      <c r="J66" s="42" t="s">
        <v>21</v>
      </c>
      <c r="K66" s="43">
        <v>51.841999999999999</v>
      </c>
      <c r="L66" s="42">
        <v>13560</v>
      </c>
      <c r="M66" s="42" t="s">
        <v>186</v>
      </c>
      <c r="N66" s="44">
        <f t="shared" si="0"/>
        <v>3.8231563421828908E-3</v>
      </c>
      <c r="O66" s="44">
        <f>+VLOOKUP(J66,TC!$B$6:$C$17,2,0)*PRECIOS!N66</f>
        <v>1.6331830007470882</v>
      </c>
      <c r="P66" s="42" t="str">
        <f t="shared" si="1"/>
        <v>Si</v>
      </c>
      <c r="Q66" s="44">
        <f>+IF(I66=1,O66,IF(I66=2,O66/(1+MRI!$C$18),(O66/(1+MRI!$D$18))/(1+MRI!$C$18)))</f>
        <v>1.4905520728920481</v>
      </c>
      <c r="R66" s="44">
        <f t="shared" si="2"/>
        <v>1.4905520728920481</v>
      </c>
    </row>
    <row r="67" spans="1:18" x14ac:dyDescent="0.3">
      <c r="A67" s="55">
        <v>66</v>
      </c>
      <c r="B67" s="55">
        <v>838</v>
      </c>
      <c r="C67" s="55" t="s">
        <v>167</v>
      </c>
      <c r="D67" s="55" t="s">
        <v>184</v>
      </c>
      <c r="E67" s="55" t="s">
        <v>158</v>
      </c>
      <c r="F67" s="55" t="s">
        <v>18</v>
      </c>
      <c r="G67" s="55" t="s">
        <v>19</v>
      </c>
      <c r="H67" s="55" t="s">
        <v>20</v>
      </c>
      <c r="I67" s="55">
        <v>3</v>
      </c>
      <c r="J67" s="55" t="s">
        <v>21</v>
      </c>
      <c r="K67" s="56">
        <v>69.72</v>
      </c>
      <c r="L67" s="55">
        <v>13560</v>
      </c>
      <c r="M67" s="55" t="s">
        <v>186</v>
      </c>
      <c r="N67" s="57">
        <f t="shared" ref="N67:N130" si="3">+K67/L67</f>
        <v>5.1415929203539826E-3</v>
      </c>
      <c r="O67" s="57">
        <f>+VLOOKUP(J67,TC!$B$6:$C$17,2,0)*PRECIOS!N67</f>
        <v>2.1963951778883337</v>
      </c>
      <c r="P67" s="55" t="str">
        <f t="shared" ref="P67:P130" si="4">IF(_xlfn.MINIFS($I:$I,$F:$F,F67,$E:$E,E67)=I67,"Si","No")</f>
        <v>No</v>
      </c>
      <c r="Q67" s="57">
        <f>+IF(I67=1,O67,IF(I67=2,O67/(1+MRI!$C$18),(O67/(1+MRI!$D$18))/(1+MRI!$C$18)))</f>
        <v>1.6790774327541211</v>
      </c>
      <c r="R67" s="57" t="str">
        <f t="shared" ref="R67:R130" si="5">+IF(P67="Si",Q67,"")</f>
        <v/>
      </c>
    </row>
    <row r="68" spans="1:18" x14ac:dyDescent="0.3">
      <c r="A68" s="42">
        <v>67</v>
      </c>
      <c r="B68" s="42">
        <v>838</v>
      </c>
      <c r="C68" s="42" t="s">
        <v>167</v>
      </c>
      <c r="D68" s="42" t="s">
        <v>184</v>
      </c>
      <c r="E68" s="42" t="s">
        <v>147</v>
      </c>
      <c r="F68" s="42" t="s">
        <v>18</v>
      </c>
      <c r="G68" s="42" t="s">
        <v>19</v>
      </c>
      <c r="H68" s="42" t="s">
        <v>22</v>
      </c>
      <c r="I68" s="42">
        <v>2</v>
      </c>
      <c r="J68" s="42" t="s">
        <v>21</v>
      </c>
      <c r="K68" s="43">
        <v>129.61000000000001</v>
      </c>
      <c r="L68" s="42">
        <v>33900</v>
      </c>
      <c r="M68" s="42" t="s">
        <v>186</v>
      </c>
      <c r="N68" s="44">
        <f t="shared" si="3"/>
        <v>3.82330383480826E-3</v>
      </c>
      <c r="O68" s="44">
        <f>+VLOOKUP(J68,TC!$B$6:$C$17,2,0)*PRECIOS!N68</f>
        <v>1.6332460069197186</v>
      </c>
      <c r="P68" s="42" t="str">
        <f t="shared" si="4"/>
        <v>Si</v>
      </c>
      <c r="Q68" s="44">
        <f>+IF(I68=1,O68,IF(I68=2,O68/(1+MRI!$C$18),(O68/(1+MRI!$D$18))/(1+MRI!$C$18)))</f>
        <v>1.4906095765405529</v>
      </c>
      <c r="R68" s="44">
        <f t="shared" si="5"/>
        <v>1.4906095765405529</v>
      </c>
    </row>
    <row r="69" spans="1:18" x14ac:dyDescent="0.3">
      <c r="A69" s="55">
        <v>68</v>
      </c>
      <c r="B69" s="55">
        <v>838</v>
      </c>
      <c r="C69" s="55" t="s">
        <v>167</v>
      </c>
      <c r="D69" s="55" t="s">
        <v>184</v>
      </c>
      <c r="E69" s="55" t="s">
        <v>147</v>
      </c>
      <c r="F69" s="55" t="s">
        <v>18</v>
      </c>
      <c r="G69" s="55" t="s">
        <v>19</v>
      </c>
      <c r="H69" s="55" t="s">
        <v>20</v>
      </c>
      <c r="I69" s="55">
        <v>3</v>
      </c>
      <c r="J69" s="55" t="s">
        <v>21</v>
      </c>
      <c r="K69" s="56">
        <v>201.5</v>
      </c>
      <c r="L69" s="55">
        <v>33900</v>
      </c>
      <c r="M69" s="55" t="s">
        <v>186</v>
      </c>
      <c r="N69" s="57">
        <f t="shared" si="3"/>
        <v>5.9439528023598823E-3</v>
      </c>
      <c r="O69" s="57">
        <f>+VLOOKUP(J69,TC!$B$6:$C$17,2,0)*PRECIOS!N69</f>
        <v>2.5391487569965534</v>
      </c>
      <c r="P69" s="55" t="str">
        <f t="shared" si="4"/>
        <v>No</v>
      </c>
      <c r="Q69" s="57">
        <f>+IF(I69=1,O69,IF(I69=2,O69/(1+MRI!$C$18),(O69/(1+MRI!$D$18))/(1+MRI!$C$18)))</f>
        <v>1.9411021382670992</v>
      </c>
      <c r="R69" s="57" t="str">
        <f t="shared" si="5"/>
        <v/>
      </c>
    </row>
    <row r="70" spans="1:18" x14ac:dyDescent="0.3">
      <c r="A70" s="42">
        <v>69</v>
      </c>
      <c r="B70" s="42">
        <v>838</v>
      </c>
      <c r="C70" s="42" t="s">
        <v>167</v>
      </c>
      <c r="D70" s="42" t="s">
        <v>184</v>
      </c>
      <c r="E70" s="42" t="s">
        <v>150</v>
      </c>
      <c r="F70" s="42" t="s">
        <v>18</v>
      </c>
      <c r="G70" s="42" t="s">
        <v>19</v>
      </c>
      <c r="H70" s="42" t="s">
        <v>22</v>
      </c>
      <c r="I70" s="42">
        <v>2</v>
      </c>
      <c r="J70" s="42" t="s">
        <v>21</v>
      </c>
      <c r="K70" s="43">
        <v>194.41</v>
      </c>
      <c r="L70" s="42">
        <v>50850</v>
      </c>
      <c r="M70" s="42" t="s">
        <v>186</v>
      </c>
      <c r="N70" s="44">
        <f t="shared" si="3"/>
        <v>3.8232055063913469E-3</v>
      </c>
      <c r="O70" s="44">
        <f>+VLOOKUP(J70,TC!$B$6:$C$17,2,0)*PRECIOS!N70</f>
        <v>1.6332040028046315</v>
      </c>
      <c r="P70" s="42" t="str">
        <f t="shared" si="4"/>
        <v>Si</v>
      </c>
      <c r="Q70" s="44">
        <f>+IF(I70=1,O70,IF(I70=2,O70/(1+MRI!$C$18),(O70/(1+MRI!$D$18))/(1+MRI!$C$18)))</f>
        <v>1.4905712407748828</v>
      </c>
      <c r="R70" s="44">
        <f t="shared" si="5"/>
        <v>1.4905712407748828</v>
      </c>
    </row>
    <row r="71" spans="1:18" x14ac:dyDescent="0.3">
      <c r="A71" s="55">
        <v>70</v>
      </c>
      <c r="B71" s="55">
        <v>838</v>
      </c>
      <c r="C71" s="55" t="s">
        <v>167</v>
      </c>
      <c r="D71" s="55" t="s">
        <v>184</v>
      </c>
      <c r="E71" s="55" t="s">
        <v>150</v>
      </c>
      <c r="F71" s="55" t="s">
        <v>18</v>
      </c>
      <c r="G71" s="55" t="s">
        <v>19</v>
      </c>
      <c r="H71" s="55" t="s">
        <v>20</v>
      </c>
      <c r="I71" s="55">
        <v>3</v>
      </c>
      <c r="J71" s="55" t="s">
        <v>21</v>
      </c>
      <c r="K71" s="56">
        <v>284.10000000000002</v>
      </c>
      <c r="L71" s="55">
        <v>50850</v>
      </c>
      <c r="M71" s="55" t="s">
        <v>186</v>
      </c>
      <c r="N71" s="57">
        <f t="shared" si="3"/>
        <v>5.5870206489675523E-3</v>
      </c>
      <c r="O71" s="57">
        <f>+VLOOKUP(J71,TC!$B$6:$C$17,2,0)*PRECIOS!N71</f>
        <v>2.3866738192315</v>
      </c>
      <c r="P71" s="55" t="str">
        <f t="shared" si="4"/>
        <v>No</v>
      </c>
      <c r="Q71" s="57">
        <f>+IF(I71=1,O71,IF(I71=2,O71/(1+MRI!$C$18),(O71/(1+MRI!$D$18))/(1+MRI!$C$18)))</f>
        <v>1.8245396773587526</v>
      </c>
      <c r="R71" s="57" t="str">
        <f t="shared" si="5"/>
        <v/>
      </c>
    </row>
    <row r="72" spans="1:18" x14ac:dyDescent="0.3">
      <c r="A72" s="42">
        <v>71</v>
      </c>
      <c r="B72" s="42">
        <v>838</v>
      </c>
      <c r="C72" s="42" t="s">
        <v>167</v>
      </c>
      <c r="D72" s="42" t="s">
        <v>184</v>
      </c>
      <c r="E72" s="42" t="s">
        <v>148</v>
      </c>
      <c r="F72" s="42" t="s">
        <v>18</v>
      </c>
      <c r="G72" s="42" t="s">
        <v>19</v>
      </c>
      <c r="H72" s="42" t="s">
        <v>22</v>
      </c>
      <c r="I72" s="42">
        <v>2</v>
      </c>
      <c r="J72" s="42" t="s">
        <v>21</v>
      </c>
      <c r="K72" s="43">
        <v>213.9</v>
      </c>
      <c r="L72" s="42">
        <v>67800</v>
      </c>
      <c r="M72" s="42" t="s">
        <v>186</v>
      </c>
      <c r="N72" s="44">
        <f t="shared" si="3"/>
        <v>3.1548672566371681E-3</v>
      </c>
      <c r="O72" s="44">
        <f>+VLOOKUP(J72,TC!$B$6:$C$17,2,0)*PRECIOS!N72</f>
        <v>1.3477020325597089</v>
      </c>
      <c r="P72" s="42" t="str">
        <f t="shared" si="4"/>
        <v>Si</v>
      </c>
      <c r="Q72" s="44">
        <f>+IF(I72=1,O72,IF(I72=2,O72/(1+MRI!$C$18),(O72/(1+MRI!$D$18))/(1+MRI!$C$18)))</f>
        <v>1.2300030415169516</v>
      </c>
      <c r="R72" s="44">
        <f t="shared" si="5"/>
        <v>1.2300030415169516</v>
      </c>
    </row>
    <row r="73" spans="1:18" x14ac:dyDescent="0.3">
      <c r="A73" s="55">
        <v>72</v>
      </c>
      <c r="B73" s="55">
        <v>838</v>
      </c>
      <c r="C73" s="55" t="s">
        <v>167</v>
      </c>
      <c r="D73" s="55" t="s">
        <v>184</v>
      </c>
      <c r="E73" s="55" t="s">
        <v>148</v>
      </c>
      <c r="F73" s="55" t="s">
        <v>18</v>
      </c>
      <c r="G73" s="55" t="s">
        <v>19</v>
      </c>
      <c r="H73" s="55" t="s">
        <v>20</v>
      </c>
      <c r="I73" s="55">
        <v>3</v>
      </c>
      <c r="J73" s="55" t="s">
        <v>21</v>
      </c>
      <c r="K73" s="56">
        <v>309</v>
      </c>
      <c r="L73" s="55">
        <v>67800</v>
      </c>
      <c r="M73" s="55" t="s">
        <v>186</v>
      </c>
      <c r="N73" s="57">
        <f t="shared" si="3"/>
        <v>4.5575221238938054E-3</v>
      </c>
      <c r="O73" s="57">
        <f>+VLOOKUP(J73,TC!$B$6:$C$17,2,0)*PRECIOS!N73</f>
        <v>1.9468907342727915</v>
      </c>
      <c r="P73" s="55" t="str">
        <f t="shared" si="4"/>
        <v>No</v>
      </c>
      <c r="Q73" s="57">
        <f>+IF(I73=1,O73,IF(I73=2,O73/(1+MRI!$C$18),(O73/(1+MRI!$D$18))/(1+MRI!$C$18)))</f>
        <v>1.4883388603586443</v>
      </c>
      <c r="R73" s="57" t="str">
        <f t="shared" si="5"/>
        <v/>
      </c>
    </row>
    <row r="74" spans="1:18" x14ac:dyDescent="0.3">
      <c r="A74" s="42">
        <v>73</v>
      </c>
      <c r="B74" s="42">
        <v>838</v>
      </c>
      <c r="C74" s="42" t="s">
        <v>167</v>
      </c>
      <c r="D74" s="42" t="s">
        <v>184</v>
      </c>
      <c r="E74" s="42" t="s">
        <v>149</v>
      </c>
      <c r="F74" s="42" t="s">
        <v>18</v>
      </c>
      <c r="G74" s="42" t="s">
        <v>19</v>
      </c>
      <c r="H74" s="42" t="s">
        <v>22</v>
      </c>
      <c r="I74" s="42">
        <v>2</v>
      </c>
      <c r="J74" s="42" t="s">
        <v>21</v>
      </c>
      <c r="K74" s="43">
        <v>267.375</v>
      </c>
      <c r="L74" s="42">
        <v>84750</v>
      </c>
      <c r="M74" s="42" t="s">
        <v>186</v>
      </c>
      <c r="N74" s="44">
        <f t="shared" si="3"/>
        <v>3.1548672566371681E-3</v>
      </c>
      <c r="O74" s="44">
        <f>+VLOOKUP(J74,TC!$B$6:$C$17,2,0)*PRECIOS!N74</f>
        <v>1.3477020325597089</v>
      </c>
      <c r="P74" s="42" t="str">
        <f t="shared" si="4"/>
        <v>Si</v>
      </c>
      <c r="Q74" s="44">
        <f>+IF(I74=1,O74,IF(I74=2,O74/(1+MRI!$C$18),(O74/(1+MRI!$D$18))/(1+MRI!$C$18)))</f>
        <v>1.2300030415169516</v>
      </c>
      <c r="R74" s="44">
        <f t="shared" si="5"/>
        <v>1.2300030415169516</v>
      </c>
    </row>
    <row r="75" spans="1:18" x14ac:dyDescent="0.3">
      <c r="A75" s="55">
        <v>74</v>
      </c>
      <c r="B75" s="55">
        <v>838</v>
      </c>
      <c r="C75" s="55" t="s">
        <v>167</v>
      </c>
      <c r="D75" s="55" t="s">
        <v>184</v>
      </c>
      <c r="E75" s="55" t="s">
        <v>149</v>
      </c>
      <c r="F75" s="55" t="s">
        <v>18</v>
      </c>
      <c r="G75" s="55" t="s">
        <v>19</v>
      </c>
      <c r="H75" s="55" t="s">
        <v>20</v>
      </c>
      <c r="I75" s="55">
        <v>3</v>
      </c>
      <c r="J75" s="55" t="s">
        <v>21</v>
      </c>
      <c r="K75" s="56">
        <v>344.53000000000003</v>
      </c>
      <c r="L75" s="55">
        <v>84750</v>
      </c>
      <c r="M75" s="55" t="s">
        <v>186</v>
      </c>
      <c r="N75" s="57">
        <f t="shared" si="3"/>
        <v>4.0652507374631273E-3</v>
      </c>
      <c r="O75" s="57">
        <f>+VLOOKUP(J75,TC!$B$6:$C$17,2,0)*PRECIOS!N75</f>
        <v>1.736601332502278</v>
      </c>
      <c r="P75" s="55" t="str">
        <f t="shared" si="4"/>
        <v>No</v>
      </c>
      <c r="Q75" s="57">
        <f>+IF(I75=1,O75,IF(I75=2,O75/(1+MRI!$C$18),(O75/(1+MRI!$D$18))/(1+MRI!$C$18)))</f>
        <v>1.3275789969174465</v>
      </c>
      <c r="R75" s="57" t="str">
        <f t="shared" si="5"/>
        <v/>
      </c>
    </row>
    <row r="76" spans="1:18" x14ac:dyDescent="0.3">
      <c r="A76" s="42">
        <v>75</v>
      </c>
      <c r="B76" s="42">
        <v>838</v>
      </c>
      <c r="C76" s="42" t="s">
        <v>167</v>
      </c>
      <c r="D76" s="42" t="s">
        <v>184</v>
      </c>
      <c r="E76" s="42" t="s">
        <v>160</v>
      </c>
      <c r="F76" s="42" t="s">
        <v>18</v>
      </c>
      <c r="G76" s="42" t="s">
        <v>19</v>
      </c>
      <c r="H76" s="42" t="s">
        <v>22</v>
      </c>
      <c r="I76" s="42">
        <v>2</v>
      </c>
      <c r="J76" s="42" t="s">
        <v>21</v>
      </c>
      <c r="K76" s="43">
        <v>427.8</v>
      </c>
      <c r="L76" s="42">
        <v>135600</v>
      </c>
      <c r="M76" s="42" t="s">
        <v>186</v>
      </c>
      <c r="N76" s="44">
        <f t="shared" si="3"/>
        <v>3.1548672566371681E-3</v>
      </c>
      <c r="O76" s="44">
        <f>+VLOOKUP(J76,TC!$B$6:$C$17,2,0)*PRECIOS!N76</f>
        <v>1.3477020325597089</v>
      </c>
      <c r="P76" s="42" t="str">
        <f t="shared" si="4"/>
        <v>Si</v>
      </c>
      <c r="Q76" s="44">
        <f>+IF(I76=1,O76,IF(I76=2,O76/(1+MRI!$C$18),(O76/(1+MRI!$D$18))/(1+MRI!$C$18)))</f>
        <v>1.2300030415169516</v>
      </c>
      <c r="R76" s="44">
        <f t="shared" si="5"/>
        <v>1.2300030415169516</v>
      </c>
    </row>
    <row r="77" spans="1:18" x14ac:dyDescent="0.3">
      <c r="A77" s="55">
        <v>76</v>
      </c>
      <c r="B77" s="55">
        <v>838</v>
      </c>
      <c r="C77" s="55" t="s">
        <v>167</v>
      </c>
      <c r="D77" s="55" t="s">
        <v>184</v>
      </c>
      <c r="E77" s="55" t="s">
        <v>160</v>
      </c>
      <c r="F77" s="55" t="s">
        <v>18</v>
      </c>
      <c r="G77" s="55" t="s">
        <v>19</v>
      </c>
      <c r="H77" s="55" t="s">
        <v>20</v>
      </c>
      <c r="I77" s="55">
        <v>3</v>
      </c>
      <c r="J77" s="55" t="s">
        <v>21</v>
      </c>
      <c r="K77" s="56">
        <v>581.70000000000005</v>
      </c>
      <c r="L77" s="55">
        <v>135600</v>
      </c>
      <c r="M77" s="55" t="s">
        <v>186</v>
      </c>
      <c r="N77" s="57">
        <f t="shared" si="3"/>
        <v>4.2898230088495581E-3</v>
      </c>
      <c r="O77" s="57">
        <f>+VLOOKUP(J77,TC!$B$6:$C$17,2,0)*PRECIOS!N77</f>
        <v>1.8325345309490015</v>
      </c>
      <c r="P77" s="55" t="str">
        <f t="shared" si="4"/>
        <v>No</v>
      </c>
      <c r="Q77" s="57">
        <f>+IF(I77=1,O77,IF(I77=2,O77/(1+MRI!$C$18),(O77/(1+MRI!$D$18))/(1+MRI!$C$18)))</f>
        <v>1.4009170146773844</v>
      </c>
      <c r="R77" s="57" t="str">
        <f t="shared" si="5"/>
        <v/>
      </c>
    </row>
    <row r="78" spans="1:18" x14ac:dyDescent="0.3">
      <c r="A78" s="42">
        <v>77</v>
      </c>
      <c r="B78" s="42">
        <v>838</v>
      </c>
      <c r="C78" s="42" t="s">
        <v>167</v>
      </c>
      <c r="D78" s="42" t="s">
        <v>184</v>
      </c>
      <c r="E78" s="42" t="s">
        <v>151</v>
      </c>
      <c r="F78" s="42" t="s">
        <v>18</v>
      </c>
      <c r="G78" s="42" t="s">
        <v>19</v>
      </c>
      <c r="H78" s="42" t="s">
        <v>22</v>
      </c>
      <c r="I78" s="42">
        <v>2</v>
      </c>
      <c r="J78" s="42" t="s">
        <v>21</v>
      </c>
      <c r="K78" s="43">
        <v>137.29</v>
      </c>
      <c r="L78" s="42">
        <v>37050</v>
      </c>
      <c r="M78" s="42" t="s">
        <v>186</v>
      </c>
      <c r="N78" s="44">
        <f t="shared" si="3"/>
        <v>3.7055330634277999E-3</v>
      </c>
      <c r="O78" s="44">
        <f>+VLOOKUP(J78,TC!$B$6:$C$17,2,0)*PRECIOS!N78</f>
        <v>1.5829364708745306</v>
      </c>
      <c r="P78" s="42" t="str">
        <f t="shared" si="4"/>
        <v>Si</v>
      </c>
      <c r="Q78" s="44">
        <f>+IF(I78=1,O78,IF(I78=2,O78/(1+MRI!$C$18),(O78/(1+MRI!$D$18))/(1+MRI!$C$18)))</f>
        <v>1.4446937280385241</v>
      </c>
      <c r="R78" s="44">
        <f t="shared" si="5"/>
        <v>1.4446937280385241</v>
      </c>
    </row>
    <row r="79" spans="1:18" x14ac:dyDescent="0.3">
      <c r="A79" s="55">
        <v>78</v>
      </c>
      <c r="B79" s="55">
        <v>838</v>
      </c>
      <c r="C79" s="55" t="s">
        <v>167</v>
      </c>
      <c r="D79" s="55" t="s">
        <v>184</v>
      </c>
      <c r="E79" s="55" t="s">
        <v>151</v>
      </c>
      <c r="F79" s="55" t="s">
        <v>18</v>
      </c>
      <c r="G79" s="55" t="s">
        <v>19</v>
      </c>
      <c r="H79" s="55" t="s">
        <v>20</v>
      </c>
      <c r="I79" s="55">
        <v>3</v>
      </c>
      <c r="J79" s="55" t="s">
        <v>21</v>
      </c>
      <c r="K79" s="56">
        <v>211.3</v>
      </c>
      <c r="L79" s="55">
        <v>37050</v>
      </c>
      <c r="M79" s="55" t="s">
        <v>186</v>
      </c>
      <c r="N79" s="57">
        <f t="shared" si="3"/>
        <v>5.7031039136302298E-3</v>
      </c>
      <c r="O79" s="57">
        <f>+VLOOKUP(J79,TC!$B$6:$C$17,2,0)*PRECIOS!N79</f>
        <v>2.4362624830343678</v>
      </c>
      <c r="P79" s="55" t="str">
        <f t="shared" si="4"/>
        <v>No</v>
      </c>
      <c r="Q79" s="57">
        <f>+IF(I79=1,O79,IF(I79=2,O79/(1+MRI!$C$18),(O79/(1+MRI!$D$18))/(1+MRI!$C$18)))</f>
        <v>1.8624487053652143</v>
      </c>
      <c r="R79" s="57" t="str">
        <f t="shared" si="5"/>
        <v/>
      </c>
    </row>
    <row r="80" spans="1:18" x14ac:dyDescent="0.3">
      <c r="A80" s="42">
        <v>79</v>
      </c>
      <c r="B80" s="42">
        <v>838</v>
      </c>
      <c r="C80" s="42" t="s">
        <v>167</v>
      </c>
      <c r="D80" s="42" t="s">
        <v>184</v>
      </c>
      <c r="E80" s="42" t="s">
        <v>154</v>
      </c>
      <c r="F80" s="42" t="s">
        <v>18</v>
      </c>
      <c r="G80" s="42" t="s">
        <v>19</v>
      </c>
      <c r="H80" s="42" t="s">
        <v>22</v>
      </c>
      <c r="I80" s="42">
        <v>2</v>
      </c>
      <c r="J80" s="42" t="s">
        <v>21</v>
      </c>
      <c r="K80" s="43">
        <v>205.92800000000003</v>
      </c>
      <c r="L80" s="42">
        <v>55575</v>
      </c>
      <c r="M80" s="42" t="s">
        <v>186</v>
      </c>
      <c r="N80" s="44">
        <f t="shared" si="3"/>
        <v>3.7054071075123709E-3</v>
      </c>
      <c r="O80" s="44">
        <f>+VLOOKUP(J80,TC!$B$6:$C$17,2,0)*PRECIOS!N80</f>
        <v>1.5828826647935048</v>
      </c>
      <c r="P80" s="42" t="str">
        <f t="shared" si="4"/>
        <v>Si</v>
      </c>
      <c r="Q80" s="44">
        <f>+IF(I80=1,O80,IF(I80=2,O80/(1+MRI!$C$18),(O80/(1+MRI!$D$18))/(1+MRI!$C$18)))</f>
        <v>1.4446446210091402</v>
      </c>
      <c r="R80" s="44">
        <f t="shared" si="5"/>
        <v>1.4446446210091402</v>
      </c>
    </row>
    <row r="81" spans="1:18" x14ac:dyDescent="0.3">
      <c r="A81" s="55">
        <v>80</v>
      </c>
      <c r="B81" s="55">
        <v>838</v>
      </c>
      <c r="C81" s="55" t="s">
        <v>167</v>
      </c>
      <c r="D81" s="55" t="s">
        <v>184</v>
      </c>
      <c r="E81" s="55" t="s">
        <v>154</v>
      </c>
      <c r="F81" s="55" t="s">
        <v>18</v>
      </c>
      <c r="G81" s="55" t="s">
        <v>19</v>
      </c>
      <c r="H81" s="55" t="s">
        <v>20</v>
      </c>
      <c r="I81" s="55">
        <v>3</v>
      </c>
      <c r="J81" s="55" t="s">
        <v>21</v>
      </c>
      <c r="K81" s="56">
        <v>266.18</v>
      </c>
      <c r="L81" s="55">
        <v>55575</v>
      </c>
      <c r="M81" s="55" t="s">
        <v>186</v>
      </c>
      <c r="N81" s="57">
        <f t="shared" si="3"/>
        <v>4.789563652721548E-3</v>
      </c>
      <c r="O81" s="57">
        <f>+VLOOKUP(J81,TC!$B$6:$C$17,2,0)*PRECIOS!N81</f>
        <v>2.0460146639346526</v>
      </c>
      <c r="P81" s="55" t="str">
        <f t="shared" si="4"/>
        <v>No</v>
      </c>
      <c r="Q81" s="57">
        <f>+IF(I81=1,O81,IF(I81=2,O81/(1+MRI!$C$18),(O81/(1+MRI!$D$18))/(1+MRI!$C$18)))</f>
        <v>1.5641160952645932</v>
      </c>
      <c r="R81" s="57" t="str">
        <f t="shared" si="5"/>
        <v/>
      </c>
    </row>
    <row r="82" spans="1:18" x14ac:dyDescent="0.3">
      <c r="A82" s="42">
        <v>81</v>
      </c>
      <c r="B82" s="42">
        <v>838</v>
      </c>
      <c r="C82" s="42" t="s">
        <v>167</v>
      </c>
      <c r="D82" s="42" t="s">
        <v>184</v>
      </c>
      <c r="E82" s="42" t="s">
        <v>152</v>
      </c>
      <c r="F82" s="42" t="s">
        <v>18</v>
      </c>
      <c r="G82" s="42" t="s">
        <v>19</v>
      </c>
      <c r="H82" s="42" t="s">
        <v>22</v>
      </c>
      <c r="I82" s="42">
        <v>2</v>
      </c>
      <c r="J82" s="42" t="s">
        <v>21</v>
      </c>
      <c r="K82" s="43">
        <v>217.77</v>
      </c>
      <c r="L82" s="42">
        <v>74100</v>
      </c>
      <c r="M82" s="42" t="s">
        <v>186</v>
      </c>
      <c r="N82" s="44">
        <f t="shared" si="3"/>
        <v>2.9388663967611335E-3</v>
      </c>
      <c r="O82" s="44">
        <f>+VLOOKUP(J82,TC!$B$6:$C$17,2,0)*PRECIOS!N82</f>
        <v>1.2554303855428166</v>
      </c>
      <c r="P82" s="42" t="str">
        <f t="shared" si="4"/>
        <v>Si</v>
      </c>
      <c r="Q82" s="44">
        <f>+IF(I82=1,O82,IF(I82=2,O82/(1+MRI!$C$18),(O82/(1+MRI!$D$18))/(1+MRI!$C$18)))</f>
        <v>1.145789763110749</v>
      </c>
      <c r="R82" s="44">
        <f t="shared" si="5"/>
        <v>1.145789763110749</v>
      </c>
    </row>
    <row r="83" spans="1:18" x14ac:dyDescent="0.3">
      <c r="A83" s="55">
        <v>82</v>
      </c>
      <c r="B83" s="55">
        <v>838</v>
      </c>
      <c r="C83" s="55" t="s">
        <v>167</v>
      </c>
      <c r="D83" s="55" t="s">
        <v>184</v>
      </c>
      <c r="E83" s="55" t="s">
        <v>152</v>
      </c>
      <c r="F83" s="55" t="s">
        <v>18</v>
      </c>
      <c r="G83" s="55" t="s">
        <v>19</v>
      </c>
      <c r="H83" s="55" t="s">
        <v>20</v>
      </c>
      <c r="I83" s="55">
        <v>3</v>
      </c>
      <c r="J83" s="55" t="s">
        <v>21</v>
      </c>
      <c r="K83" s="56">
        <v>313.89999999999998</v>
      </c>
      <c r="L83" s="55">
        <v>74100</v>
      </c>
      <c r="M83" s="55" t="s">
        <v>186</v>
      </c>
      <c r="N83" s="57">
        <f t="shared" si="3"/>
        <v>4.2361673414304992E-3</v>
      </c>
      <c r="O83" s="57">
        <f>+VLOOKUP(J83,TC!$B$6:$C$17,2,0)*PRECIOS!N83</f>
        <v>1.809613803654728</v>
      </c>
      <c r="P83" s="55" t="str">
        <f t="shared" si="4"/>
        <v>No</v>
      </c>
      <c r="Q83" s="57">
        <f>+IF(I83=1,O83,IF(I83=2,O83/(1+MRI!$C$18),(O83/(1+MRI!$D$18))/(1+MRI!$C$18)))</f>
        <v>1.3833948145152408</v>
      </c>
      <c r="R83" s="57" t="str">
        <f t="shared" si="5"/>
        <v/>
      </c>
    </row>
    <row r="84" spans="1:18" x14ac:dyDescent="0.3">
      <c r="A84" s="42">
        <v>83</v>
      </c>
      <c r="B84" s="42">
        <v>838</v>
      </c>
      <c r="C84" s="42" t="s">
        <v>167</v>
      </c>
      <c r="D84" s="42" t="s">
        <v>184</v>
      </c>
      <c r="E84" s="42" t="s">
        <v>153</v>
      </c>
      <c r="F84" s="42" t="s">
        <v>18</v>
      </c>
      <c r="G84" s="42" t="s">
        <v>19</v>
      </c>
      <c r="H84" s="42" t="s">
        <v>22</v>
      </c>
      <c r="I84" s="42">
        <v>2</v>
      </c>
      <c r="J84" s="42" t="s">
        <v>21</v>
      </c>
      <c r="K84" s="43">
        <v>272.21300000000002</v>
      </c>
      <c r="L84" s="42">
        <v>92625</v>
      </c>
      <c r="M84" s="42" t="s">
        <v>186</v>
      </c>
      <c r="N84" s="44">
        <f t="shared" si="3"/>
        <v>2.9388717948717951E-3</v>
      </c>
      <c r="O84" s="44">
        <f>+VLOOKUP(J84,TC!$B$6:$C$17,2,0)*PRECIOS!N84</f>
        <v>1.2554326915177179</v>
      </c>
      <c r="P84" s="42" t="str">
        <f t="shared" si="4"/>
        <v>Si</v>
      </c>
      <c r="Q84" s="44">
        <f>+IF(I84=1,O84,IF(I84=2,O84/(1+MRI!$C$18),(O84/(1+MRI!$D$18))/(1+MRI!$C$18)))</f>
        <v>1.1457918676977228</v>
      </c>
      <c r="R84" s="44">
        <f t="shared" si="5"/>
        <v>1.1457918676977228</v>
      </c>
    </row>
    <row r="85" spans="1:18" x14ac:dyDescent="0.3">
      <c r="A85" s="55">
        <v>84</v>
      </c>
      <c r="B85" s="55">
        <v>838</v>
      </c>
      <c r="C85" s="55" t="s">
        <v>167</v>
      </c>
      <c r="D85" s="55" t="s">
        <v>184</v>
      </c>
      <c r="E85" s="55" t="s">
        <v>153</v>
      </c>
      <c r="F85" s="55" t="s">
        <v>18</v>
      </c>
      <c r="G85" s="55" t="s">
        <v>19</v>
      </c>
      <c r="H85" s="55" t="s">
        <v>20</v>
      </c>
      <c r="I85" s="55">
        <v>3</v>
      </c>
      <c r="J85" s="55" t="s">
        <v>21</v>
      </c>
      <c r="K85" s="56">
        <v>350.7</v>
      </c>
      <c r="L85" s="55">
        <v>92625</v>
      </c>
      <c r="M85" s="55" t="s">
        <v>186</v>
      </c>
      <c r="N85" s="57">
        <f t="shared" si="3"/>
        <v>3.7862348178137649E-3</v>
      </c>
      <c r="O85" s="57">
        <f>+VLOOKUP(J85,TC!$B$6:$C$17,2,0)*PRECIOS!N85</f>
        <v>1.61741079564629</v>
      </c>
      <c r="P85" s="55" t="str">
        <f t="shared" si="4"/>
        <v>No</v>
      </c>
      <c r="Q85" s="57">
        <f>+IF(I85=1,O85,IF(I85=2,O85/(1+MRI!$C$18),(O85/(1+MRI!$D$18))/(1+MRI!$C$18)))</f>
        <v>1.23646145001719</v>
      </c>
      <c r="R85" s="57" t="str">
        <f t="shared" si="5"/>
        <v/>
      </c>
    </row>
    <row r="86" spans="1:18" x14ac:dyDescent="0.3">
      <c r="A86" s="42">
        <v>85</v>
      </c>
      <c r="B86" s="42">
        <v>838</v>
      </c>
      <c r="C86" s="42" t="s">
        <v>167</v>
      </c>
      <c r="D86" s="42" t="s">
        <v>184</v>
      </c>
      <c r="E86" s="42" t="s">
        <v>169</v>
      </c>
      <c r="F86" s="42" t="s">
        <v>18</v>
      </c>
      <c r="G86" s="42" t="s">
        <v>19</v>
      </c>
      <c r="H86" s="42" t="s">
        <v>22</v>
      </c>
      <c r="I86" s="42">
        <v>2</v>
      </c>
      <c r="J86" s="42" t="s">
        <v>21</v>
      </c>
      <c r="K86" s="43">
        <v>435.54</v>
      </c>
      <c r="L86" s="42">
        <v>148200</v>
      </c>
      <c r="M86" s="42" t="s">
        <v>186</v>
      </c>
      <c r="N86" s="44">
        <f t="shared" si="3"/>
        <v>2.9388663967611335E-3</v>
      </c>
      <c r="O86" s="44">
        <f>+VLOOKUP(J86,TC!$B$6:$C$17,2,0)*PRECIOS!N86</f>
        <v>1.2554303855428166</v>
      </c>
      <c r="P86" s="42" t="str">
        <f t="shared" si="4"/>
        <v>Si</v>
      </c>
      <c r="Q86" s="44">
        <f>+IF(I86=1,O86,IF(I86=2,O86/(1+MRI!$C$18),(O86/(1+MRI!$D$18))/(1+MRI!$C$18)))</f>
        <v>1.145789763110749</v>
      </c>
      <c r="R86" s="44">
        <f t="shared" si="5"/>
        <v>1.145789763110749</v>
      </c>
    </row>
    <row r="87" spans="1:18" x14ac:dyDescent="0.3">
      <c r="A87" s="55">
        <v>86</v>
      </c>
      <c r="B87" s="55">
        <v>838</v>
      </c>
      <c r="C87" s="55" t="s">
        <v>167</v>
      </c>
      <c r="D87" s="55" t="s">
        <v>184</v>
      </c>
      <c r="E87" s="55" t="s">
        <v>169</v>
      </c>
      <c r="F87" s="55" t="s">
        <v>18</v>
      </c>
      <c r="G87" s="55" t="s">
        <v>19</v>
      </c>
      <c r="H87" s="55" t="s">
        <v>20</v>
      </c>
      <c r="I87" s="55">
        <v>3</v>
      </c>
      <c r="J87" s="55" t="s">
        <v>21</v>
      </c>
      <c r="K87" s="56">
        <v>591.6</v>
      </c>
      <c r="L87" s="55">
        <v>148200</v>
      </c>
      <c r="M87" s="55" t="s">
        <v>186</v>
      </c>
      <c r="N87" s="57">
        <f t="shared" si="3"/>
        <v>3.9919028340080973E-3</v>
      </c>
      <c r="O87" s="57">
        <f>+VLOOKUP(J87,TC!$B$6:$C$17,2,0)*PRECIOS!N87</f>
        <v>1.7052684393790014</v>
      </c>
      <c r="P87" s="55" t="str">
        <f t="shared" si="4"/>
        <v>No</v>
      </c>
      <c r="Q87" s="57">
        <f>+IF(I87=1,O87,IF(I87=2,O87/(1+MRI!$C$18),(O87/(1+MRI!$D$18))/(1+MRI!$C$18)))</f>
        <v>1.3036259513654294</v>
      </c>
      <c r="R87" s="57" t="str">
        <f t="shared" si="5"/>
        <v/>
      </c>
    </row>
    <row r="88" spans="1:18" x14ac:dyDescent="0.3">
      <c r="A88" s="42">
        <v>87</v>
      </c>
      <c r="B88" s="42">
        <v>838</v>
      </c>
      <c r="C88" s="42" t="s">
        <v>167</v>
      </c>
      <c r="D88" s="42" t="s">
        <v>184</v>
      </c>
      <c r="E88" s="42" t="s">
        <v>170</v>
      </c>
      <c r="F88" s="42" t="s">
        <v>18</v>
      </c>
      <c r="G88" s="42" t="s">
        <v>19</v>
      </c>
      <c r="H88" s="42" t="s">
        <v>22</v>
      </c>
      <c r="I88" s="42">
        <v>2</v>
      </c>
      <c r="J88" s="42" t="s">
        <v>21</v>
      </c>
      <c r="K88" s="43">
        <v>1088.8499999999999</v>
      </c>
      <c r="L88" s="42">
        <v>370500</v>
      </c>
      <c r="M88" s="42" t="s">
        <v>186</v>
      </c>
      <c r="N88" s="44">
        <f t="shared" si="3"/>
        <v>2.9388663967611335E-3</v>
      </c>
      <c r="O88" s="44">
        <f>+VLOOKUP(J88,TC!$B$6:$C$17,2,0)*PRECIOS!N88</f>
        <v>1.2554303855428166</v>
      </c>
      <c r="P88" s="42" t="str">
        <f t="shared" si="4"/>
        <v>Si</v>
      </c>
      <c r="Q88" s="44">
        <f>+IF(I88=1,O88,IF(I88=2,O88/(1+MRI!$C$18),(O88/(1+MRI!$D$18))/(1+MRI!$C$18)))</f>
        <v>1.145789763110749</v>
      </c>
      <c r="R88" s="44">
        <f t="shared" si="5"/>
        <v>1.145789763110749</v>
      </c>
    </row>
    <row r="89" spans="1:18" x14ac:dyDescent="0.3">
      <c r="A89" s="55">
        <v>88</v>
      </c>
      <c r="B89" s="55">
        <v>838</v>
      </c>
      <c r="C89" s="55" t="s">
        <v>167</v>
      </c>
      <c r="D89" s="55" t="s">
        <v>184</v>
      </c>
      <c r="E89" s="55" t="s">
        <v>170</v>
      </c>
      <c r="F89" s="55" t="s">
        <v>18</v>
      </c>
      <c r="G89" s="55" t="s">
        <v>19</v>
      </c>
      <c r="H89" s="55" t="s">
        <v>20</v>
      </c>
      <c r="I89" s="55">
        <v>3</v>
      </c>
      <c r="J89" s="55" t="s">
        <v>21</v>
      </c>
      <c r="K89" s="56">
        <v>1395.54</v>
      </c>
      <c r="L89" s="55">
        <v>370500</v>
      </c>
      <c r="M89" s="55" t="s">
        <v>186</v>
      </c>
      <c r="N89" s="57">
        <f t="shared" si="3"/>
        <v>3.7666396761133602E-3</v>
      </c>
      <c r="O89" s="57">
        <f>+VLOOKUP(J89,TC!$B$6:$C$17,2,0)*PRECIOS!N89</f>
        <v>1.6090401067552207</v>
      </c>
      <c r="P89" s="55" t="str">
        <f t="shared" si="4"/>
        <v>No</v>
      </c>
      <c r="Q89" s="57">
        <f>+IF(I89=1,O89,IF(I89=2,O89/(1+MRI!$C$18),(O89/(1+MRI!$D$18))/(1+MRI!$C$18)))</f>
        <v>1.2300623124871608</v>
      </c>
      <c r="R89" s="57" t="str">
        <f t="shared" si="5"/>
        <v/>
      </c>
    </row>
    <row r="90" spans="1:18" x14ac:dyDescent="0.3">
      <c r="A90" s="42">
        <v>89</v>
      </c>
      <c r="B90" s="42">
        <v>838</v>
      </c>
      <c r="C90" s="42" t="s">
        <v>171</v>
      </c>
      <c r="D90" s="42" t="s">
        <v>184</v>
      </c>
      <c r="E90" s="42" t="s">
        <v>149</v>
      </c>
      <c r="F90" s="42" t="s">
        <v>104</v>
      </c>
      <c r="G90" s="42" t="s">
        <v>172</v>
      </c>
      <c r="H90" s="42" t="s">
        <v>13</v>
      </c>
      <c r="I90" s="42">
        <v>2</v>
      </c>
      <c r="J90" s="42" t="s">
        <v>25</v>
      </c>
      <c r="K90" s="43">
        <v>60</v>
      </c>
      <c r="L90" s="42">
        <v>84750</v>
      </c>
      <c r="M90" s="42" t="s">
        <v>186</v>
      </c>
      <c r="N90" s="44">
        <f t="shared" si="3"/>
        <v>7.0796460176991152E-4</v>
      </c>
      <c r="O90" s="44">
        <f>+VLOOKUP(J90,TC!$B$6:$C$17,2,0)*PRECIOS!N90</f>
        <v>3.0383223286615597</v>
      </c>
      <c r="P90" s="42" t="str">
        <f t="shared" si="4"/>
        <v>Si</v>
      </c>
      <c r="Q90" s="44">
        <f>+IF(I90=1,O90,IF(I90=2,O90/(1+MRI!$C$18),(O90/(1+MRI!$D$18))/(1+MRI!$C$18)))</f>
        <v>2.7729762329322707</v>
      </c>
      <c r="R90" s="44">
        <f t="shared" si="5"/>
        <v>2.7729762329322707</v>
      </c>
    </row>
    <row r="91" spans="1:18" x14ac:dyDescent="0.3">
      <c r="A91" s="55">
        <v>90</v>
      </c>
      <c r="B91" s="55">
        <v>838</v>
      </c>
      <c r="C91" s="55" t="s">
        <v>171</v>
      </c>
      <c r="D91" s="55" t="s">
        <v>184</v>
      </c>
      <c r="E91" s="55" t="s">
        <v>148</v>
      </c>
      <c r="F91" s="55" t="s">
        <v>104</v>
      </c>
      <c r="G91" s="55" t="s">
        <v>172</v>
      </c>
      <c r="H91" s="55" t="s">
        <v>13</v>
      </c>
      <c r="I91" s="55">
        <v>2</v>
      </c>
      <c r="J91" s="55" t="s">
        <v>25</v>
      </c>
      <c r="K91" s="56">
        <v>35</v>
      </c>
      <c r="L91" s="55">
        <v>67800</v>
      </c>
      <c r="M91" s="55" t="s">
        <v>186</v>
      </c>
      <c r="N91" s="57">
        <f t="shared" si="3"/>
        <v>5.1622418879056046E-4</v>
      </c>
      <c r="O91" s="57">
        <f>+VLOOKUP(J91,TC!$B$6:$C$17,2,0)*PRECIOS!N91</f>
        <v>2.2154433646490537</v>
      </c>
      <c r="P91" s="55" t="str">
        <f t="shared" si="4"/>
        <v>Si</v>
      </c>
      <c r="Q91" s="57">
        <f>+IF(I91=1,O91,IF(I91=2,O91/(1+MRI!$C$18),(O91/(1+MRI!$D$18))/(1+MRI!$C$18)))</f>
        <v>2.0219618365131136</v>
      </c>
      <c r="R91" s="57">
        <f t="shared" si="5"/>
        <v>2.0219618365131136</v>
      </c>
    </row>
    <row r="92" spans="1:18" x14ac:dyDescent="0.3">
      <c r="A92" s="42">
        <v>91</v>
      </c>
      <c r="B92" s="42">
        <v>838</v>
      </c>
      <c r="C92" s="42" t="s">
        <v>173</v>
      </c>
      <c r="D92" s="42" t="s">
        <v>184</v>
      </c>
      <c r="E92" s="42" t="s">
        <v>170</v>
      </c>
      <c r="F92" s="42" t="s">
        <v>41</v>
      </c>
      <c r="G92" s="42" t="s">
        <v>174</v>
      </c>
      <c r="H92" s="42" t="s">
        <v>13</v>
      </c>
      <c r="I92" s="42">
        <v>2</v>
      </c>
      <c r="J92" s="42" t="s">
        <v>43</v>
      </c>
      <c r="K92" s="43">
        <v>129.12</v>
      </c>
      <c r="L92" s="42">
        <v>370500</v>
      </c>
      <c r="M92" s="42" t="s">
        <v>186</v>
      </c>
      <c r="N92" s="44">
        <f t="shared" si="3"/>
        <v>3.48502024291498E-4</v>
      </c>
      <c r="O92" s="44">
        <f>+VLOOKUP(J92,TC!$B$6:$C$17,2,0)*PRECIOS!N92</f>
        <v>1.8514143863618699</v>
      </c>
      <c r="P92" s="42" t="str">
        <f t="shared" si="4"/>
        <v>Si</v>
      </c>
      <c r="Q92" s="44">
        <f>+IF(I92=1,O92,IF(I92=2,O92/(1+MRI!$C$18),(O92/(1+MRI!$D$18))/(1+MRI!$C$18)))</f>
        <v>1.6897246359480051</v>
      </c>
      <c r="R92" s="44">
        <f t="shared" si="5"/>
        <v>1.6897246359480051</v>
      </c>
    </row>
    <row r="93" spans="1:18" x14ac:dyDescent="0.3">
      <c r="A93" s="55">
        <v>92</v>
      </c>
      <c r="B93" s="55">
        <v>838</v>
      </c>
      <c r="C93" s="55" t="s">
        <v>173</v>
      </c>
      <c r="D93" s="55" t="s">
        <v>184</v>
      </c>
      <c r="E93" s="55" t="s">
        <v>162</v>
      </c>
      <c r="F93" s="55" t="s">
        <v>41</v>
      </c>
      <c r="G93" s="55" t="s">
        <v>174</v>
      </c>
      <c r="H93" s="55" t="s">
        <v>13</v>
      </c>
      <c r="I93" s="55">
        <v>2</v>
      </c>
      <c r="J93" s="55" t="s">
        <v>43</v>
      </c>
      <c r="K93" s="56">
        <v>24.687000000000001</v>
      </c>
      <c r="L93" s="55">
        <v>63600</v>
      </c>
      <c r="M93" s="55" t="s">
        <v>186</v>
      </c>
      <c r="N93" s="57">
        <f t="shared" si="3"/>
        <v>3.8816037735849056E-4</v>
      </c>
      <c r="O93" s="57">
        <f>+VLOOKUP(J93,TC!$B$6:$C$17,2,0)*PRECIOS!N93</f>
        <v>2.0620990891463626</v>
      </c>
      <c r="P93" s="55" t="str">
        <f t="shared" si="4"/>
        <v>Si</v>
      </c>
      <c r="Q93" s="57">
        <f>+IF(I93=1,O93,IF(I93=2,O93/(1+MRI!$C$18),(O93/(1+MRI!$D$18))/(1+MRI!$C$18)))</f>
        <v>1.8820095913500741</v>
      </c>
      <c r="R93" s="57">
        <f t="shared" si="5"/>
        <v>1.8820095913500741</v>
      </c>
    </row>
    <row r="94" spans="1:18" x14ac:dyDescent="0.3">
      <c r="A94" s="42">
        <v>93</v>
      </c>
      <c r="B94" s="42">
        <v>838</v>
      </c>
      <c r="C94" s="42" t="s">
        <v>173</v>
      </c>
      <c r="D94" s="42" t="s">
        <v>184</v>
      </c>
      <c r="E94" s="42" t="s">
        <v>152</v>
      </c>
      <c r="F94" s="42" t="s">
        <v>41</v>
      </c>
      <c r="G94" s="42" t="s">
        <v>174</v>
      </c>
      <c r="H94" s="42" t="s">
        <v>13</v>
      </c>
      <c r="I94" s="42">
        <v>2</v>
      </c>
      <c r="J94" s="42" t="s">
        <v>43</v>
      </c>
      <c r="K94" s="43">
        <v>26.35</v>
      </c>
      <c r="L94" s="42">
        <v>74100</v>
      </c>
      <c r="M94" s="42" t="s">
        <v>186</v>
      </c>
      <c r="N94" s="44">
        <f t="shared" si="3"/>
        <v>3.5560053981106615E-4</v>
      </c>
      <c r="O94" s="44">
        <f>+VLOOKUP(J94,TC!$B$6:$C$17,2,0)*PRECIOS!N94</f>
        <v>1.8891251967408329</v>
      </c>
      <c r="P94" s="42" t="str">
        <f t="shared" si="4"/>
        <v>Si</v>
      </c>
      <c r="Q94" s="44">
        <f>+IF(I94=1,O94,IF(I94=2,O94/(1+MRI!$C$18),(O94/(1+MRI!$D$18))/(1+MRI!$C$18)))</f>
        <v>1.7241420445023983</v>
      </c>
      <c r="R94" s="44">
        <f t="shared" si="5"/>
        <v>1.7241420445023983</v>
      </c>
    </row>
    <row r="95" spans="1:18" x14ac:dyDescent="0.3">
      <c r="A95" s="55">
        <v>94</v>
      </c>
      <c r="B95" s="55">
        <v>838</v>
      </c>
      <c r="C95" s="55" t="s">
        <v>175</v>
      </c>
      <c r="D95" s="55" t="s">
        <v>184</v>
      </c>
      <c r="E95" s="55" t="s">
        <v>162</v>
      </c>
      <c r="F95" s="55" t="s">
        <v>141</v>
      </c>
      <c r="G95" s="55" t="s">
        <v>176</v>
      </c>
      <c r="H95" s="55" t="s">
        <v>11</v>
      </c>
      <c r="I95" s="55">
        <v>1</v>
      </c>
      <c r="J95" s="55" t="s">
        <v>40</v>
      </c>
      <c r="K95" s="56">
        <v>26.32</v>
      </c>
      <c r="L95" s="55">
        <v>63600</v>
      </c>
      <c r="M95" s="55" t="s">
        <v>186</v>
      </c>
      <c r="N95" s="57">
        <f t="shared" si="3"/>
        <v>4.138364779874214E-4</v>
      </c>
      <c r="O95" s="57">
        <f>+VLOOKUP(J95,TC!$B$6:$C$17,2,0)*PRECIOS!N95</f>
        <v>1.8938816748645286</v>
      </c>
      <c r="P95" s="55" t="str">
        <f t="shared" si="4"/>
        <v>Si</v>
      </c>
      <c r="Q95" s="57">
        <f>+IF(I95=1,O95,IF(I95=2,O95/(1+MRI!$C$18),(O95/(1+MRI!$D$18))/(1+MRI!$C$18)))</f>
        <v>1.8938816748645286</v>
      </c>
      <c r="R95" s="57">
        <f t="shared" si="5"/>
        <v>1.8938816748645286</v>
      </c>
    </row>
    <row r="96" spans="1:18" x14ac:dyDescent="0.3">
      <c r="A96" s="42">
        <v>95</v>
      </c>
      <c r="B96" s="42">
        <v>838</v>
      </c>
      <c r="C96" s="42" t="s">
        <v>175</v>
      </c>
      <c r="D96" s="42" t="s">
        <v>184</v>
      </c>
      <c r="E96" s="42" t="s">
        <v>162</v>
      </c>
      <c r="F96" s="42" t="s">
        <v>141</v>
      </c>
      <c r="G96" s="42" t="s">
        <v>176</v>
      </c>
      <c r="H96" s="42" t="s">
        <v>22</v>
      </c>
      <c r="I96" s="42">
        <v>2</v>
      </c>
      <c r="J96" s="42" t="s">
        <v>40</v>
      </c>
      <c r="K96" s="43">
        <v>27.61</v>
      </c>
      <c r="L96" s="42">
        <v>63600</v>
      </c>
      <c r="M96" s="42" t="s">
        <v>186</v>
      </c>
      <c r="N96" s="44">
        <f t="shared" si="3"/>
        <v>4.3411949685534588E-4</v>
      </c>
      <c r="O96" s="44">
        <f>+VLOOKUP(J96,TC!$B$6:$C$17,2,0)*PRECIOS!N96</f>
        <v>1.98670490284991</v>
      </c>
      <c r="P96" s="42" t="str">
        <f t="shared" si="4"/>
        <v>No</v>
      </c>
      <c r="Q96" s="44">
        <f>+IF(I96=1,O96,IF(I96=2,O96/(1+MRI!$C$18),(O96/(1+MRI!$D$18))/(1+MRI!$C$18)))</f>
        <v>1.8131998127663025</v>
      </c>
      <c r="R96" s="44" t="str">
        <f t="shared" si="5"/>
        <v/>
      </c>
    </row>
    <row r="97" spans="1:18" x14ac:dyDescent="0.3">
      <c r="A97" s="55">
        <v>96</v>
      </c>
      <c r="B97" s="55">
        <v>838</v>
      </c>
      <c r="C97" s="55" t="s">
        <v>175</v>
      </c>
      <c r="D97" s="55" t="s">
        <v>184</v>
      </c>
      <c r="E97" s="55" t="s">
        <v>162</v>
      </c>
      <c r="F97" s="55" t="s">
        <v>141</v>
      </c>
      <c r="G97" s="55" t="s">
        <v>176</v>
      </c>
      <c r="H97" s="55" t="s">
        <v>20</v>
      </c>
      <c r="I97" s="55">
        <v>3</v>
      </c>
      <c r="J97" s="55" t="s">
        <v>40</v>
      </c>
      <c r="K97" s="56">
        <v>38.049999999999997</v>
      </c>
      <c r="L97" s="55">
        <v>63600</v>
      </c>
      <c r="M97" s="55" t="s">
        <v>186</v>
      </c>
      <c r="N97" s="57">
        <f t="shared" si="3"/>
        <v>5.9827044025157232E-4</v>
      </c>
      <c r="O97" s="57">
        <f>+VLOOKUP(J97,TC!$B$6:$C$17,2,0)*PRECIOS!N97</f>
        <v>2.7379254456153235</v>
      </c>
      <c r="P97" s="55" t="str">
        <f t="shared" si="4"/>
        <v>No</v>
      </c>
      <c r="Q97" s="57">
        <f>+IF(I97=1,O97,IF(I97=2,O97/(1+MRI!$C$18),(O97/(1+MRI!$D$18))/(1+MRI!$C$18)))</f>
        <v>2.0930608820202412</v>
      </c>
      <c r="R97" s="57" t="str">
        <f t="shared" si="5"/>
        <v/>
      </c>
    </row>
    <row r="98" spans="1:18" x14ac:dyDescent="0.3">
      <c r="A98" s="42">
        <v>97</v>
      </c>
      <c r="B98" s="42">
        <v>838</v>
      </c>
      <c r="C98" s="42" t="s">
        <v>175</v>
      </c>
      <c r="D98" s="42" t="s">
        <v>184</v>
      </c>
      <c r="E98" s="42" t="s">
        <v>148</v>
      </c>
      <c r="F98" s="42" t="s">
        <v>141</v>
      </c>
      <c r="G98" s="42" t="s">
        <v>176</v>
      </c>
      <c r="H98" s="42" t="s">
        <v>11</v>
      </c>
      <c r="I98" s="42">
        <v>1</v>
      </c>
      <c r="J98" s="42" t="s">
        <v>40</v>
      </c>
      <c r="K98" s="43">
        <v>29.58</v>
      </c>
      <c r="L98" s="42">
        <v>67800</v>
      </c>
      <c r="M98" s="42" t="s">
        <v>186</v>
      </c>
      <c r="N98" s="44">
        <f t="shared" si="3"/>
        <v>4.3628318584070793E-4</v>
      </c>
      <c r="O98" s="44">
        <f>+VLOOKUP(J98,TC!$B$6:$C$17,2,0)*PRECIOS!N98</f>
        <v>1.9966068113027651</v>
      </c>
      <c r="P98" s="42" t="str">
        <f t="shared" si="4"/>
        <v>Si</v>
      </c>
      <c r="Q98" s="44">
        <f>+IF(I98=1,O98,IF(I98=2,O98/(1+MRI!$C$18),(O98/(1+MRI!$D$18))/(1+MRI!$C$18)))</f>
        <v>1.9966068113027651</v>
      </c>
      <c r="R98" s="44">
        <f t="shared" si="5"/>
        <v>1.9966068113027651</v>
      </c>
    </row>
    <row r="99" spans="1:18" x14ac:dyDescent="0.3">
      <c r="A99" s="55">
        <v>98</v>
      </c>
      <c r="B99" s="55">
        <v>838</v>
      </c>
      <c r="C99" s="55" t="s">
        <v>175</v>
      </c>
      <c r="D99" s="55" t="s">
        <v>184</v>
      </c>
      <c r="E99" s="55" t="s">
        <v>148</v>
      </c>
      <c r="F99" s="55" t="s">
        <v>141</v>
      </c>
      <c r="G99" s="55" t="s">
        <v>176</v>
      </c>
      <c r="H99" s="55" t="s">
        <v>22</v>
      </c>
      <c r="I99" s="55">
        <v>2</v>
      </c>
      <c r="J99" s="55" t="s">
        <v>40</v>
      </c>
      <c r="K99" s="56">
        <v>31.03</v>
      </c>
      <c r="L99" s="55">
        <v>67800</v>
      </c>
      <c r="M99" s="55" t="s">
        <v>186</v>
      </c>
      <c r="N99" s="57">
        <f t="shared" si="3"/>
        <v>4.5766961651917405E-4</v>
      </c>
      <c r="O99" s="57">
        <f>+VLOOKUP(J99,TC!$B$6:$C$17,2,0)*PRECIOS!N99</f>
        <v>2.0944796942097637</v>
      </c>
      <c r="P99" s="55" t="str">
        <f t="shared" si="4"/>
        <v>No</v>
      </c>
      <c r="Q99" s="57">
        <f>+IF(I99=1,O99,IF(I99=2,O99/(1+MRI!$C$18),(O99/(1+MRI!$D$18))/(1+MRI!$C$18)))</f>
        <v>1.9115622979216416</v>
      </c>
      <c r="R99" s="57" t="str">
        <f t="shared" si="5"/>
        <v/>
      </c>
    </row>
    <row r="100" spans="1:18" x14ac:dyDescent="0.3">
      <c r="A100" s="42">
        <v>99</v>
      </c>
      <c r="B100" s="42">
        <v>838</v>
      </c>
      <c r="C100" s="42" t="s">
        <v>175</v>
      </c>
      <c r="D100" s="42" t="s">
        <v>184</v>
      </c>
      <c r="E100" s="42" t="s">
        <v>148</v>
      </c>
      <c r="F100" s="42" t="s">
        <v>141</v>
      </c>
      <c r="G100" s="42" t="s">
        <v>176</v>
      </c>
      <c r="H100" s="42" t="s">
        <v>20</v>
      </c>
      <c r="I100" s="42">
        <v>3</v>
      </c>
      <c r="J100" s="42" t="s">
        <v>40</v>
      </c>
      <c r="K100" s="43">
        <v>42.76</v>
      </c>
      <c r="L100" s="42">
        <v>67800</v>
      </c>
      <c r="M100" s="42" t="s">
        <v>186</v>
      </c>
      <c r="N100" s="44">
        <f t="shared" si="3"/>
        <v>6.3067846607669609E-4</v>
      </c>
      <c r="O100" s="44">
        <f>+VLOOKUP(J100,TC!$B$6:$C$17,2,0)*PRECIOS!N100</f>
        <v>2.8862375676574117</v>
      </c>
      <c r="P100" s="42" t="str">
        <f t="shared" si="4"/>
        <v>No</v>
      </c>
      <c r="Q100" s="44">
        <f>+IF(I100=1,O100,IF(I100=2,O100/(1+MRI!$C$18),(O100/(1+MRI!$D$18))/(1+MRI!$C$18)))</f>
        <v>2.2064409966880243</v>
      </c>
      <c r="R100" s="44" t="str">
        <f t="shared" si="5"/>
        <v/>
      </c>
    </row>
    <row r="101" spans="1:18" x14ac:dyDescent="0.3">
      <c r="A101" s="55">
        <v>100</v>
      </c>
      <c r="B101" s="55">
        <v>838</v>
      </c>
      <c r="C101" s="55" t="s">
        <v>175</v>
      </c>
      <c r="D101" s="55" t="s">
        <v>184</v>
      </c>
      <c r="E101" s="55" t="s">
        <v>160</v>
      </c>
      <c r="F101" s="55" t="s">
        <v>141</v>
      </c>
      <c r="G101" s="55" t="s">
        <v>176</v>
      </c>
      <c r="H101" s="55" t="s">
        <v>11</v>
      </c>
      <c r="I101" s="55">
        <v>1</v>
      </c>
      <c r="J101" s="55" t="s">
        <v>40</v>
      </c>
      <c r="K101" s="56">
        <v>55.9</v>
      </c>
      <c r="L101" s="55">
        <v>135600</v>
      </c>
      <c r="M101" s="55" t="s">
        <v>186</v>
      </c>
      <c r="N101" s="57">
        <f t="shared" si="3"/>
        <v>4.1224188790560471E-4</v>
      </c>
      <c r="O101" s="57">
        <f>+VLOOKUP(J101,TC!$B$6:$C$17,2,0)*PRECIOS!N101</f>
        <v>1.886584191207312</v>
      </c>
      <c r="P101" s="55" t="str">
        <f t="shared" si="4"/>
        <v>Si</v>
      </c>
      <c r="Q101" s="57">
        <f>+IF(I101=1,O101,IF(I101=2,O101/(1+MRI!$C$18),(O101/(1+MRI!$D$18))/(1+MRI!$C$18)))</f>
        <v>1.886584191207312</v>
      </c>
      <c r="R101" s="57">
        <f t="shared" si="5"/>
        <v>1.886584191207312</v>
      </c>
    </row>
    <row r="102" spans="1:18" x14ac:dyDescent="0.3">
      <c r="A102" s="42">
        <v>101</v>
      </c>
      <c r="B102" s="42">
        <v>838</v>
      </c>
      <c r="C102" s="42" t="s">
        <v>175</v>
      </c>
      <c r="D102" s="42" t="s">
        <v>184</v>
      </c>
      <c r="E102" s="42" t="s">
        <v>160</v>
      </c>
      <c r="F102" s="42" t="s">
        <v>141</v>
      </c>
      <c r="G102" s="42" t="s">
        <v>176</v>
      </c>
      <c r="H102" s="42" t="s">
        <v>22</v>
      </c>
      <c r="I102" s="42">
        <v>2</v>
      </c>
      <c r="J102" s="42" t="s">
        <v>40</v>
      </c>
      <c r="K102" s="43">
        <v>58.64</v>
      </c>
      <c r="L102" s="42">
        <v>135600</v>
      </c>
      <c r="M102" s="42" t="s">
        <v>186</v>
      </c>
      <c r="N102" s="44">
        <f t="shared" si="3"/>
        <v>4.3244837758112093E-4</v>
      </c>
      <c r="O102" s="44">
        <f>+VLOOKUP(J102,TC!$B$6:$C$17,2,0)*PRECIOS!N102</f>
        <v>1.9790571909194414</v>
      </c>
      <c r="P102" s="42" t="str">
        <f t="shared" si="4"/>
        <v>No</v>
      </c>
      <c r="Q102" s="44">
        <f>+IF(I102=1,O102,IF(I102=2,O102/(1+MRI!$C$18),(O102/(1+MRI!$D$18))/(1+MRI!$C$18)))</f>
        <v>1.8062199991963432</v>
      </c>
      <c r="R102" s="44" t="str">
        <f t="shared" si="5"/>
        <v/>
      </c>
    </row>
    <row r="103" spans="1:18" x14ac:dyDescent="0.3">
      <c r="A103" s="55">
        <v>102</v>
      </c>
      <c r="B103" s="55">
        <v>838</v>
      </c>
      <c r="C103" s="55" t="s">
        <v>175</v>
      </c>
      <c r="D103" s="55" t="s">
        <v>184</v>
      </c>
      <c r="E103" s="55" t="s">
        <v>160</v>
      </c>
      <c r="F103" s="55" t="s">
        <v>141</v>
      </c>
      <c r="G103" s="55" t="s">
        <v>176</v>
      </c>
      <c r="H103" s="55" t="s">
        <v>20</v>
      </c>
      <c r="I103" s="55">
        <v>3</v>
      </c>
      <c r="J103" s="55" t="s">
        <v>40</v>
      </c>
      <c r="K103" s="56">
        <v>74.59</v>
      </c>
      <c r="L103" s="55">
        <v>135600</v>
      </c>
      <c r="M103" s="55" t="s">
        <v>186</v>
      </c>
      <c r="N103" s="57">
        <f t="shared" si="3"/>
        <v>5.5007374631268439E-4</v>
      </c>
      <c r="O103" s="57">
        <f>+VLOOKUP(J103,TC!$B$6:$C$17,2,0)*PRECIOS!N103</f>
        <v>2.517358046907932</v>
      </c>
      <c r="P103" s="55" t="str">
        <f t="shared" si="4"/>
        <v>No</v>
      </c>
      <c r="Q103" s="57">
        <f>+IF(I103=1,O103,IF(I103=2,O103/(1+MRI!$C$18),(O103/(1+MRI!$D$18))/(1+MRI!$C$18)))</f>
        <v>1.9244438019522887</v>
      </c>
      <c r="R103" s="57" t="str">
        <f t="shared" si="5"/>
        <v/>
      </c>
    </row>
    <row r="104" spans="1:18" x14ac:dyDescent="0.3">
      <c r="A104" s="42">
        <v>103</v>
      </c>
      <c r="B104" s="42">
        <v>838</v>
      </c>
      <c r="C104" s="42" t="s">
        <v>175</v>
      </c>
      <c r="D104" s="42" t="s">
        <v>184</v>
      </c>
      <c r="E104" s="42" t="s">
        <v>147</v>
      </c>
      <c r="F104" s="42" t="s">
        <v>141</v>
      </c>
      <c r="G104" s="42" t="s">
        <v>176</v>
      </c>
      <c r="H104" s="42" t="s">
        <v>11</v>
      </c>
      <c r="I104" s="42">
        <v>1</v>
      </c>
      <c r="J104" s="42" t="s">
        <v>40</v>
      </c>
      <c r="K104" s="43">
        <v>16.420000000000002</v>
      </c>
      <c r="L104" s="42">
        <v>33900</v>
      </c>
      <c r="M104" s="42" t="s">
        <v>186</v>
      </c>
      <c r="N104" s="44">
        <f t="shared" si="3"/>
        <v>4.8436578171091448E-4</v>
      </c>
      <c r="O104" s="44">
        <f>+VLOOKUP(J104,TC!$B$6:$C$17,2,0)*PRECIOS!N104</f>
        <v>2.2166520514936718</v>
      </c>
      <c r="P104" s="42" t="str">
        <f t="shared" si="4"/>
        <v>Si</v>
      </c>
      <c r="Q104" s="44">
        <f>+IF(I104=1,O104,IF(I104=2,O104/(1+MRI!$C$18),(O104/(1+MRI!$D$18))/(1+MRI!$C$18)))</f>
        <v>2.2166520514936718</v>
      </c>
      <c r="R104" s="44">
        <f t="shared" si="5"/>
        <v>2.2166520514936718</v>
      </c>
    </row>
    <row r="105" spans="1:18" x14ac:dyDescent="0.3">
      <c r="A105" s="55">
        <v>104</v>
      </c>
      <c r="B105" s="55">
        <v>838</v>
      </c>
      <c r="C105" s="55" t="s">
        <v>175</v>
      </c>
      <c r="D105" s="55" t="s">
        <v>184</v>
      </c>
      <c r="E105" s="55" t="s">
        <v>147</v>
      </c>
      <c r="F105" s="55" t="s">
        <v>141</v>
      </c>
      <c r="G105" s="55" t="s">
        <v>176</v>
      </c>
      <c r="H105" s="55" t="s">
        <v>22</v>
      </c>
      <c r="I105" s="55">
        <v>2</v>
      </c>
      <c r="J105" s="55" t="s">
        <v>40</v>
      </c>
      <c r="K105" s="56">
        <v>17.22</v>
      </c>
      <c r="L105" s="55">
        <v>33900</v>
      </c>
      <c r="M105" s="55" t="s">
        <v>186</v>
      </c>
      <c r="N105" s="57">
        <f t="shared" si="3"/>
        <v>5.0796460176991143E-4</v>
      </c>
      <c r="O105" s="57">
        <f>+VLOOKUP(J105,TC!$B$6:$C$17,2,0)*PRECIOS!N105</f>
        <v>2.324649715391049</v>
      </c>
      <c r="P105" s="55" t="str">
        <f t="shared" si="4"/>
        <v>No</v>
      </c>
      <c r="Q105" s="57">
        <f>+IF(I105=1,O105,IF(I105=2,O105/(1+MRI!$C$18),(O105/(1+MRI!$D$18))/(1+MRI!$C$18)))</f>
        <v>2.1216308585375874</v>
      </c>
      <c r="R105" s="57" t="str">
        <f t="shared" si="5"/>
        <v/>
      </c>
    </row>
    <row r="106" spans="1:18" x14ac:dyDescent="0.3">
      <c r="A106" s="42">
        <v>105</v>
      </c>
      <c r="B106" s="42">
        <v>838</v>
      </c>
      <c r="C106" s="42" t="s">
        <v>175</v>
      </c>
      <c r="D106" s="42" t="s">
        <v>184</v>
      </c>
      <c r="E106" s="42" t="s">
        <v>147</v>
      </c>
      <c r="F106" s="42" t="s">
        <v>141</v>
      </c>
      <c r="G106" s="42" t="s">
        <v>176</v>
      </c>
      <c r="H106" s="42" t="s">
        <v>20</v>
      </c>
      <c r="I106" s="42">
        <v>3</v>
      </c>
      <c r="J106" s="42" t="s">
        <v>40</v>
      </c>
      <c r="K106" s="43">
        <v>23.74</v>
      </c>
      <c r="L106" s="42">
        <v>33900</v>
      </c>
      <c r="M106" s="42" t="s">
        <v>186</v>
      </c>
      <c r="N106" s="44">
        <f t="shared" si="3"/>
        <v>7.002949852507374E-4</v>
      </c>
      <c r="O106" s="44">
        <f>+VLOOKUP(J106,TC!$B$6:$C$17,2,0)*PRECIOS!N106</f>
        <v>3.2048306761546752</v>
      </c>
      <c r="P106" s="42" t="str">
        <f t="shared" si="4"/>
        <v>No</v>
      </c>
      <c r="Q106" s="44">
        <f>+IF(I106=1,O106,IF(I106=2,O106/(1+MRI!$C$18),(O106/(1+MRI!$D$18))/(1+MRI!$C$18)))</f>
        <v>2.449995755910837</v>
      </c>
      <c r="R106" s="44" t="str">
        <f t="shared" si="5"/>
        <v/>
      </c>
    </row>
    <row r="107" spans="1:18" x14ac:dyDescent="0.3">
      <c r="A107" s="55">
        <v>106</v>
      </c>
      <c r="B107" s="55">
        <v>838</v>
      </c>
      <c r="C107" s="55" t="s">
        <v>175</v>
      </c>
      <c r="D107" s="55" t="s">
        <v>184</v>
      </c>
      <c r="E107" s="55" t="s">
        <v>152</v>
      </c>
      <c r="F107" s="55" t="s">
        <v>141</v>
      </c>
      <c r="G107" s="55" t="s">
        <v>176</v>
      </c>
      <c r="H107" s="55" t="s">
        <v>11</v>
      </c>
      <c r="I107" s="55">
        <v>1</v>
      </c>
      <c r="J107" s="55" t="s">
        <v>40</v>
      </c>
      <c r="K107" s="56">
        <v>30.01</v>
      </c>
      <c r="L107" s="55">
        <v>74100</v>
      </c>
      <c r="M107" s="55" t="s">
        <v>186</v>
      </c>
      <c r="N107" s="57">
        <f t="shared" si="3"/>
        <v>4.0499325236167342E-4</v>
      </c>
      <c r="O107" s="57">
        <f>+VLOOKUP(J107,TC!$B$6:$C$17,2,0)*PRECIOS!N107</f>
        <v>1.8534115281999672</v>
      </c>
      <c r="P107" s="55" t="str">
        <f t="shared" si="4"/>
        <v>Si</v>
      </c>
      <c r="Q107" s="57">
        <f>+IF(I107=1,O107,IF(I107=2,O107/(1+MRI!$C$18),(O107/(1+MRI!$D$18))/(1+MRI!$C$18)))</f>
        <v>1.8534115281999672</v>
      </c>
      <c r="R107" s="57">
        <f t="shared" si="5"/>
        <v>1.8534115281999672</v>
      </c>
    </row>
    <row r="108" spans="1:18" x14ac:dyDescent="0.3">
      <c r="A108" s="42">
        <v>107</v>
      </c>
      <c r="B108" s="42">
        <v>838</v>
      </c>
      <c r="C108" s="42" t="s">
        <v>175</v>
      </c>
      <c r="D108" s="42" t="s">
        <v>184</v>
      </c>
      <c r="E108" s="42" t="s">
        <v>152</v>
      </c>
      <c r="F108" s="42" t="s">
        <v>141</v>
      </c>
      <c r="G108" s="42" t="s">
        <v>176</v>
      </c>
      <c r="H108" s="42" t="s">
        <v>22</v>
      </c>
      <c r="I108" s="42">
        <v>2</v>
      </c>
      <c r="J108" s="42" t="s">
        <v>40</v>
      </c>
      <c r="K108" s="43">
        <v>31.48</v>
      </c>
      <c r="L108" s="42">
        <v>74100</v>
      </c>
      <c r="M108" s="42" t="s">
        <v>186</v>
      </c>
      <c r="N108" s="44">
        <f t="shared" si="3"/>
        <v>4.2483130904183539E-4</v>
      </c>
      <c r="O108" s="44">
        <f>+VLOOKUP(J108,TC!$B$6:$C$17,2,0)*PRECIOS!N108</f>
        <v>1.9441984307809055</v>
      </c>
      <c r="P108" s="42" t="str">
        <f t="shared" si="4"/>
        <v>No</v>
      </c>
      <c r="Q108" s="44">
        <f>+IF(I108=1,O108,IF(I108=2,O108/(1+MRI!$C$18),(O108/(1+MRI!$D$18))/(1+MRI!$C$18)))</f>
        <v>1.7744055625048192</v>
      </c>
      <c r="R108" s="44" t="str">
        <f t="shared" si="5"/>
        <v/>
      </c>
    </row>
    <row r="109" spans="1:18" x14ac:dyDescent="0.3">
      <c r="A109" s="55">
        <v>108</v>
      </c>
      <c r="B109" s="55">
        <v>838</v>
      </c>
      <c r="C109" s="55" t="s">
        <v>175</v>
      </c>
      <c r="D109" s="55" t="s">
        <v>184</v>
      </c>
      <c r="E109" s="55" t="s">
        <v>152</v>
      </c>
      <c r="F109" s="55" t="s">
        <v>141</v>
      </c>
      <c r="G109" s="55" t="s">
        <v>176</v>
      </c>
      <c r="H109" s="55" t="s">
        <v>20</v>
      </c>
      <c r="I109" s="55">
        <v>3</v>
      </c>
      <c r="J109" s="55" t="s">
        <v>40</v>
      </c>
      <c r="K109" s="56">
        <v>43.38</v>
      </c>
      <c r="L109" s="55">
        <v>74100</v>
      </c>
      <c r="M109" s="55" t="s">
        <v>186</v>
      </c>
      <c r="N109" s="57">
        <f t="shared" si="3"/>
        <v>5.854251012145749E-4</v>
      </c>
      <c r="O109" s="57">
        <f>+VLOOKUP(J109,TC!$B$6:$C$17,2,0)*PRECIOS!N109</f>
        <v>2.6791400231027849</v>
      </c>
      <c r="P109" s="55" t="str">
        <f t="shared" si="4"/>
        <v>No</v>
      </c>
      <c r="Q109" s="57">
        <f>+IF(I109=1,O109,IF(I109=2,O109/(1+MRI!$C$18),(O109/(1+MRI!$D$18))/(1+MRI!$C$18)))</f>
        <v>2.0481212111862259</v>
      </c>
      <c r="R109" s="57" t="str">
        <f t="shared" si="5"/>
        <v/>
      </c>
    </row>
    <row r="110" spans="1:18" x14ac:dyDescent="0.3">
      <c r="A110" s="42">
        <v>109</v>
      </c>
      <c r="B110" s="42">
        <v>838</v>
      </c>
      <c r="C110" s="42" t="s">
        <v>175</v>
      </c>
      <c r="D110" s="42" t="s">
        <v>184</v>
      </c>
      <c r="E110" s="42" t="s">
        <v>169</v>
      </c>
      <c r="F110" s="42" t="s">
        <v>141</v>
      </c>
      <c r="G110" s="42" t="s">
        <v>176</v>
      </c>
      <c r="H110" s="42" t="s">
        <v>11</v>
      </c>
      <c r="I110" s="42">
        <v>1</v>
      </c>
      <c r="J110" s="42" t="s">
        <v>40</v>
      </c>
      <c r="K110" s="43">
        <v>56.63</v>
      </c>
      <c r="L110" s="42">
        <v>148200</v>
      </c>
      <c r="M110" s="42" t="s">
        <v>186</v>
      </c>
      <c r="N110" s="44">
        <f t="shared" si="3"/>
        <v>3.8211875843454794E-4</v>
      </c>
      <c r="O110" s="44">
        <f>+VLOOKUP(J110,TC!$B$6:$C$17,2,0)*PRECIOS!N110</f>
        <v>1.7487286711423551</v>
      </c>
      <c r="P110" s="42" t="str">
        <f t="shared" si="4"/>
        <v>Si</v>
      </c>
      <c r="Q110" s="44">
        <f>+IF(I110=1,O110,IF(I110=2,O110/(1+MRI!$C$18),(O110/(1+MRI!$D$18))/(1+MRI!$C$18)))</f>
        <v>1.7487286711423551</v>
      </c>
      <c r="R110" s="44">
        <f t="shared" si="5"/>
        <v>1.7487286711423551</v>
      </c>
    </row>
    <row r="111" spans="1:18" x14ac:dyDescent="0.3">
      <c r="A111" s="55">
        <v>110</v>
      </c>
      <c r="B111" s="55">
        <v>838</v>
      </c>
      <c r="C111" s="55" t="s">
        <v>175</v>
      </c>
      <c r="D111" s="55" t="s">
        <v>184</v>
      </c>
      <c r="E111" s="55" t="s">
        <v>169</v>
      </c>
      <c r="F111" s="55" t="s">
        <v>141</v>
      </c>
      <c r="G111" s="55" t="s">
        <v>176</v>
      </c>
      <c r="H111" s="55" t="s">
        <v>22</v>
      </c>
      <c r="I111" s="55">
        <v>2</v>
      </c>
      <c r="J111" s="55" t="s">
        <v>40</v>
      </c>
      <c r="K111" s="56">
        <v>59.4</v>
      </c>
      <c r="L111" s="55">
        <v>148200</v>
      </c>
      <c r="M111" s="55" t="s">
        <v>186</v>
      </c>
      <c r="N111" s="57">
        <f t="shared" si="3"/>
        <v>4.0080971659919027E-4</v>
      </c>
      <c r="O111" s="57">
        <f>+VLOOKUP(J111,TC!$B$6:$C$17,2,0)*PRECIOS!N111</f>
        <v>1.834265990920994</v>
      </c>
      <c r="P111" s="55" t="str">
        <f t="shared" si="4"/>
        <v>No</v>
      </c>
      <c r="Q111" s="57">
        <f>+IF(I111=1,O111,IF(I111=2,O111/(1+MRI!$C$18),(O111/(1+MRI!$D$18))/(1+MRI!$C$18)))</f>
        <v>1.674073862973098</v>
      </c>
      <c r="R111" s="57" t="str">
        <f t="shared" si="5"/>
        <v/>
      </c>
    </row>
    <row r="112" spans="1:18" x14ac:dyDescent="0.3">
      <c r="A112" s="42">
        <v>111</v>
      </c>
      <c r="B112" s="42">
        <v>838</v>
      </c>
      <c r="C112" s="42" t="s">
        <v>175</v>
      </c>
      <c r="D112" s="42" t="s">
        <v>184</v>
      </c>
      <c r="E112" s="42" t="s">
        <v>169</v>
      </c>
      <c r="F112" s="42" t="s">
        <v>141</v>
      </c>
      <c r="G112" s="42" t="s">
        <v>176</v>
      </c>
      <c r="H112" s="42" t="s">
        <v>20</v>
      </c>
      <c r="I112" s="42">
        <v>3</v>
      </c>
      <c r="J112" s="42" t="s">
        <v>40</v>
      </c>
      <c r="K112" s="43">
        <v>75.56</v>
      </c>
      <c r="L112" s="42">
        <v>148200</v>
      </c>
      <c r="M112" s="42" t="s">
        <v>186</v>
      </c>
      <c r="N112" s="44">
        <f t="shared" si="3"/>
        <v>5.0985155195681518E-4</v>
      </c>
      <c r="O112" s="44">
        <f>+VLOOKUP(J112,TC!$B$6:$C$17,2,0)*PRECIOS!N112</f>
        <v>2.3332851561277832</v>
      </c>
      <c r="P112" s="42" t="str">
        <f t="shared" si="4"/>
        <v>No</v>
      </c>
      <c r="Q112" s="44">
        <f>+IF(I112=1,O112,IF(I112=2,O112/(1+MRI!$C$18),(O112/(1+MRI!$D$18))/(1+MRI!$C$18)))</f>
        <v>1.7837256652516285</v>
      </c>
      <c r="R112" s="44" t="str">
        <f t="shared" si="5"/>
        <v/>
      </c>
    </row>
    <row r="113" spans="1:18" x14ac:dyDescent="0.3">
      <c r="A113" s="55">
        <v>112</v>
      </c>
      <c r="B113" s="55">
        <v>838</v>
      </c>
      <c r="C113" s="55" t="s">
        <v>177</v>
      </c>
      <c r="D113" s="55" t="s">
        <v>184</v>
      </c>
      <c r="E113" s="55" t="s">
        <v>164</v>
      </c>
      <c r="F113" s="55" t="s">
        <v>108</v>
      </c>
      <c r="G113" s="55" t="s">
        <v>178</v>
      </c>
      <c r="H113" s="55" t="s">
        <v>11</v>
      </c>
      <c r="I113" s="55">
        <v>1</v>
      </c>
      <c r="J113" s="55" t="s">
        <v>94</v>
      </c>
      <c r="K113" s="56">
        <v>292.79840000000002</v>
      </c>
      <c r="L113" s="55">
        <v>31800</v>
      </c>
      <c r="M113" s="55" t="s">
        <v>186</v>
      </c>
      <c r="N113" s="57">
        <f t="shared" si="3"/>
        <v>9.2074968553459129E-3</v>
      </c>
      <c r="O113" s="57">
        <f>+VLOOKUP(J113,TC!$B$6:$C$17,2,0)*PRECIOS!N113</f>
        <v>2.2818289980921307</v>
      </c>
      <c r="P113" s="55" t="str">
        <f t="shared" si="4"/>
        <v>Si</v>
      </c>
      <c r="Q113" s="57">
        <f>+IF(I113=1,O113,IF(I113=2,O113/(1+MRI!$C$18),(O113/(1+MRI!$D$18))/(1+MRI!$C$18)))</f>
        <v>2.2818289980921307</v>
      </c>
      <c r="R113" s="57">
        <f t="shared" si="5"/>
        <v>2.2818289980921307</v>
      </c>
    </row>
    <row r="114" spans="1:18" x14ac:dyDescent="0.3">
      <c r="A114" s="42">
        <v>113</v>
      </c>
      <c r="B114" s="42">
        <v>838</v>
      </c>
      <c r="C114" s="42" t="s">
        <v>177</v>
      </c>
      <c r="D114" s="42" t="s">
        <v>184</v>
      </c>
      <c r="E114" s="42" t="s">
        <v>162</v>
      </c>
      <c r="F114" s="42" t="s">
        <v>108</v>
      </c>
      <c r="G114" s="42" t="s">
        <v>178</v>
      </c>
      <c r="H114" s="42" t="s">
        <v>11</v>
      </c>
      <c r="I114" s="42">
        <v>1</v>
      </c>
      <c r="J114" s="42" t="s">
        <v>94</v>
      </c>
      <c r="K114" s="43">
        <v>585.61199999999997</v>
      </c>
      <c r="L114" s="42">
        <v>63600</v>
      </c>
      <c r="M114" s="42" t="s">
        <v>186</v>
      </c>
      <c r="N114" s="44">
        <f t="shared" si="3"/>
        <v>9.2077358490566027E-3</v>
      </c>
      <c r="O114" s="44">
        <f>+VLOOKUP(J114,TC!$B$6:$C$17,2,0)*PRECIOS!N114</f>
        <v>2.2818882262176441</v>
      </c>
      <c r="P114" s="42" t="str">
        <f t="shared" si="4"/>
        <v>Si</v>
      </c>
      <c r="Q114" s="44">
        <f>+IF(I114=1,O114,IF(I114=2,O114/(1+MRI!$C$18),(O114/(1+MRI!$D$18))/(1+MRI!$C$18)))</f>
        <v>2.2818882262176441</v>
      </c>
      <c r="R114" s="44">
        <f t="shared" si="5"/>
        <v>2.2818882262176441</v>
      </c>
    </row>
    <row r="115" spans="1:18" x14ac:dyDescent="0.3">
      <c r="A115" s="55">
        <v>114</v>
      </c>
      <c r="B115" s="55">
        <v>838</v>
      </c>
      <c r="C115" s="55" t="s">
        <v>177</v>
      </c>
      <c r="D115" s="55" t="s">
        <v>184</v>
      </c>
      <c r="E115" s="55" t="s">
        <v>147</v>
      </c>
      <c r="F115" s="55" t="s">
        <v>108</v>
      </c>
      <c r="G115" s="55" t="s">
        <v>178</v>
      </c>
      <c r="H115" s="55" t="s">
        <v>11</v>
      </c>
      <c r="I115" s="55">
        <v>1</v>
      </c>
      <c r="J115" s="55" t="s">
        <v>94</v>
      </c>
      <c r="K115" s="56">
        <v>312.32399999999996</v>
      </c>
      <c r="L115" s="55">
        <v>33900</v>
      </c>
      <c r="M115" s="55" t="s">
        <v>186</v>
      </c>
      <c r="N115" s="57">
        <f t="shared" si="3"/>
        <v>9.2130973451327418E-3</v>
      </c>
      <c r="O115" s="57">
        <f>+VLOOKUP(J115,TC!$B$6:$C$17,2,0)*PRECIOS!N115</f>
        <v>2.2832169279714316</v>
      </c>
      <c r="P115" s="55" t="str">
        <f t="shared" si="4"/>
        <v>Si</v>
      </c>
      <c r="Q115" s="57">
        <f>+IF(I115=1,O115,IF(I115=2,O115/(1+MRI!$C$18),(O115/(1+MRI!$D$18))/(1+MRI!$C$18)))</f>
        <v>2.2832169279714316</v>
      </c>
      <c r="R115" s="57">
        <f t="shared" si="5"/>
        <v>2.2832169279714316</v>
      </c>
    </row>
    <row r="116" spans="1:18" x14ac:dyDescent="0.3">
      <c r="A116" s="42">
        <v>115</v>
      </c>
      <c r="B116" s="42">
        <v>838</v>
      </c>
      <c r="C116" s="42" t="s">
        <v>177</v>
      </c>
      <c r="D116" s="42" t="s">
        <v>184</v>
      </c>
      <c r="E116" s="42" t="s">
        <v>148</v>
      </c>
      <c r="F116" s="42" t="s">
        <v>108</v>
      </c>
      <c r="G116" s="42" t="s">
        <v>178</v>
      </c>
      <c r="H116" s="42" t="s">
        <v>11</v>
      </c>
      <c r="I116" s="42">
        <v>1</v>
      </c>
      <c r="J116" s="42" t="s">
        <v>94</v>
      </c>
      <c r="K116" s="43">
        <v>624.66399999999999</v>
      </c>
      <c r="L116" s="42">
        <v>67800</v>
      </c>
      <c r="M116" s="42" t="s">
        <v>186</v>
      </c>
      <c r="N116" s="44">
        <f t="shared" si="3"/>
        <v>9.2133333333333338E-3</v>
      </c>
      <c r="O116" s="44">
        <f>+VLOOKUP(J116,TC!$B$6:$C$17,2,0)*PRECIOS!N116</f>
        <v>2.2832754112625775</v>
      </c>
      <c r="P116" s="42" t="str">
        <f t="shared" si="4"/>
        <v>Si</v>
      </c>
      <c r="Q116" s="44">
        <f>+IF(I116=1,O116,IF(I116=2,O116/(1+MRI!$C$18),(O116/(1+MRI!$D$18))/(1+MRI!$C$18)))</f>
        <v>2.2832754112625775</v>
      </c>
      <c r="R116" s="44">
        <f t="shared" si="5"/>
        <v>2.2832754112625775</v>
      </c>
    </row>
    <row r="117" spans="1:18" x14ac:dyDescent="0.3">
      <c r="A117" s="55">
        <v>116</v>
      </c>
      <c r="B117" s="55">
        <v>838</v>
      </c>
      <c r="C117" s="55" t="s">
        <v>177</v>
      </c>
      <c r="D117" s="55" t="s">
        <v>184</v>
      </c>
      <c r="E117" s="55" t="s">
        <v>151</v>
      </c>
      <c r="F117" s="55" t="s">
        <v>108</v>
      </c>
      <c r="G117" s="55" t="s">
        <v>178</v>
      </c>
      <c r="H117" s="55" t="s">
        <v>11</v>
      </c>
      <c r="I117" s="55">
        <v>1</v>
      </c>
      <c r="J117" s="55" t="s">
        <v>94</v>
      </c>
      <c r="K117" s="56">
        <v>341.613</v>
      </c>
      <c r="L117" s="55">
        <v>37050</v>
      </c>
      <c r="M117" s="55" t="s">
        <v>186</v>
      </c>
      <c r="N117" s="57">
        <f t="shared" si="3"/>
        <v>9.2203238866396756E-3</v>
      </c>
      <c r="O117" s="57">
        <f>+VLOOKUP(J117,TC!$B$6:$C$17,2,0)*PRECIOS!N117</f>
        <v>2.2850078307787309</v>
      </c>
      <c r="P117" s="55" t="str">
        <f t="shared" si="4"/>
        <v>Si</v>
      </c>
      <c r="Q117" s="57">
        <f>+IF(I117=1,O117,IF(I117=2,O117/(1+MRI!$C$18),(O117/(1+MRI!$D$18))/(1+MRI!$C$18)))</f>
        <v>2.2850078307787309</v>
      </c>
      <c r="R117" s="57">
        <f t="shared" si="5"/>
        <v>2.2850078307787309</v>
      </c>
    </row>
    <row r="118" spans="1:18" x14ac:dyDescent="0.3">
      <c r="A118" s="42">
        <v>117</v>
      </c>
      <c r="B118" s="42">
        <v>838</v>
      </c>
      <c r="C118" s="42" t="s">
        <v>177</v>
      </c>
      <c r="D118" s="42" t="s">
        <v>184</v>
      </c>
      <c r="E118" s="42" t="s">
        <v>152</v>
      </c>
      <c r="F118" s="42" t="s">
        <v>108</v>
      </c>
      <c r="G118" s="42" t="s">
        <v>178</v>
      </c>
      <c r="H118" s="42" t="s">
        <v>11</v>
      </c>
      <c r="I118" s="42">
        <v>1</v>
      </c>
      <c r="J118" s="42" t="s">
        <v>94</v>
      </c>
      <c r="K118" s="43">
        <v>683.21100000000001</v>
      </c>
      <c r="L118" s="42">
        <v>74100</v>
      </c>
      <c r="M118" s="42" t="s">
        <v>186</v>
      </c>
      <c r="N118" s="44">
        <f t="shared" si="3"/>
        <v>9.2201214574898788E-3</v>
      </c>
      <c r="O118" s="44">
        <f>+VLOOKUP(J118,TC!$B$6:$C$17,2,0)*PRECIOS!N118</f>
        <v>2.2849576641904252</v>
      </c>
      <c r="P118" s="42" t="str">
        <f t="shared" si="4"/>
        <v>Si</v>
      </c>
      <c r="Q118" s="44">
        <f>+IF(I118=1,O118,IF(I118=2,O118/(1+MRI!$C$18),(O118/(1+MRI!$D$18))/(1+MRI!$C$18)))</f>
        <v>2.2849576641904252</v>
      </c>
      <c r="R118" s="44">
        <f t="shared" si="5"/>
        <v>2.2849576641904252</v>
      </c>
    </row>
    <row r="119" spans="1:18" x14ac:dyDescent="0.3">
      <c r="A119" s="55">
        <v>118</v>
      </c>
      <c r="B119" s="55">
        <v>838</v>
      </c>
      <c r="C119" s="55" t="s">
        <v>177</v>
      </c>
      <c r="D119" s="55" t="s">
        <v>184</v>
      </c>
      <c r="E119" s="55" t="s">
        <v>153</v>
      </c>
      <c r="F119" s="55" t="s">
        <v>108</v>
      </c>
      <c r="G119" s="55" t="s">
        <v>178</v>
      </c>
      <c r="H119" s="55" t="s">
        <v>11</v>
      </c>
      <c r="I119" s="55">
        <v>1</v>
      </c>
      <c r="J119" s="55" t="s">
        <v>94</v>
      </c>
      <c r="K119" s="56">
        <v>1200.797</v>
      </c>
      <c r="L119" s="55">
        <v>92625</v>
      </c>
      <c r="M119" s="55" t="s">
        <v>186</v>
      </c>
      <c r="N119" s="57">
        <f t="shared" si="3"/>
        <v>1.2964070175438597E-2</v>
      </c>
      <c r="O119" s="57">
        <f>+VLOOKUP(J119,TC!$B$6:$C$17,2,0)*PRECIOS!N119</f>
        <v>3.2127940660052254</v>
      </c>
      <c r="P119" s="55" t="str">
        <f t="shared" si="4"/>
        <v>Si</v>
      </c>
      <c r="Q119" s="57">
        <f>+IF(I119=1,O119,IF(I119=2,O119/(1+MRI!$C$18),(O119/(1+MRI!$D$18))/(1+MRI!$C$18)))</f>
        <v>3.2127940660052254</v>
      </c>
      <c r="R119" s="57">
        <f t="shared" si="5"/>
        <v>3.2127940660052254</v>
      </c>
    </row>
    <row r="120" spans="1:18" x14ac:dyDescent="0.3">
      <c r="A120" s="42">
        <v>119</v>
      </c>
      <c r="B120" s="42">
        <v>838</v>
      </c>
      <c r="C120" s="42" t="s">
        <v>177</v>
      </c>
      <c r="D120" s="42" t="s">
        <v>184</v>
      </c>
      <c r="E120" s="42" t="s">
        <v>169</v>
      </c>
      <c r="F120" s="42" t="s">
        <v>108</v>
      </c>
      <c r="G120" s="42" t="s">
        <v>178</v>
      </c>
      <c r="H120" s="42" t="s">
        <v>11</v>
      </c>
      <c r="I120" s="42">
        <v>1</v>
      </c>
      <c r="J120" s="42" t="s">
        <v>94</v>
      </c>
      <c r="K120" s="43">
        <v>1366.4379999999999</v>
      </c>
      <c r="L120" s="42">
        <v>148200</v>
      </c>
      <c r="M120" s="42" t="s">
        <v>186</v>
      </c>
      <c r="N120" s="44">
        <f t="shared" si="3"/>
        <v>9.2202294197031038E-3</v>
      </c>
      <c r="O120" s="44">
        <f>+VLOOKUP(J120,TC!$B$6:$C$17,2,0)*PRECIOS!N120</f>
        <v>2.2849844197041884</v>
      </c>
      <c r="P120" s="42" t="str">
        <f t="shared" si="4"/>
        <v>Si</v>
      </c>
      <c r="Q120" s="44">
        <f>+IF(I120=1,O120,IF(I120=2,O120/(1+MRI!$C$18),(O120/(1+MRI!$D$18))/(1+MRI!$C$18)))</f>
        <v>2.2849844197041884</v>
      </c>
      <c r="R120" s="44">
        <f t="shared" si="5"/>
        <v>2.2849844197041884</v>
      </c>
    </row>
    <row r="121" spans="1:18" x14ac:dyDescent="0.3">
      <c r="A121" s="55">
        <v>120</v>
      </c>
      <c r="B121" s="55">
        <v>838</v>
      </c>
      <c r="C121" s="55" t="s">
        <v>177</v>
      </c>
      <c r="D121" s="55" t="s">
        <v>184</v>
      </c>
      <c r="E121" s="55" t="s">
        <v>170</v>
      </c>
      <c r="F121" s="55" t="s">
        <v>108</v>
      </c>
      <c r="G121" s="55" t="s">
        <v>178</v>
      </c>
      <c r="H121" s="55" t="s">
        <v>11</v>
      </c>
      <c r="I121" s="55">
        <v>1</v>
      </c>
      <c r="J121" s="55" t="s">
        <v>94</v>
      </c>
      <c r="K121" s="56">
        <v>3416.0933333333337</v>
      </c>
      <c r="L121" s="55">
        <v>370500</v>
      </c>
      <c r="M121" s="55" t="s">
        <v>186</v>
      </c>
      <c r="N121" s="57">
        <f t="shared" si="3"/>
        <v>9.2202249212775533E-3</v>
      </c>
      <c r="O121" s="57">
        <f>+VLOOKUP(J121,TC!$B$6:$C$17,2,0)*PRECIOS!N121</f>
        <v>2.284983304891115</v>
      </c>
      <c r="P121" s="55" t="str">
        <f t="shared" si="4"/>
        <v>Si</v>
      </c>
      <c r="Q121" s="57">
        <f>+IF(I121=1,O121,IF(I121=2,O121/(1+MRI!$C$18),(O121/(1+MRI!$D$18))/(1+MRI!$C$18)))</f>
        <v>2.284983304891115</v>
      </c>
      <c r="R121" s="57">
        <f t="shared" si="5"/>
        <v>2.284983304891115</v>
      </c>
    </row>
    <row r="122" spans="1:18" x14ac:dyDescent="0.3">
      <c r="A122" s="42">
        <v>121</v>
      </c>
      <c r="B122" s="42">
        <v>838</v>
      </c>
      <c r="C122" s="42" t="s">
        <v>238</v>
      </c>
      <c r="D122" s="42" t="s">
        <v>184</v>
      </c>
      <c r="E122" s="42" t="s">
        <v>148</v>
      </c>
      <c r="F122" s="42" t="s">
        <v>101</v>
      </c>
      <c r="G122" s="42" t="s">
        <v>205</v>
      </c>
      <c r="H122" s="42" t="s">
        <v>13</v>
      </c>
      <c r="I122" s="42">
        <v>2</v>
      </c>
      <c r="J122" s="42" t="s">
        <v>93</v>
      </c>
      <c r="K122" s="43">
        <v>212</v>
      </c>
      <c r="L122" s="42">
        <v>67800</v>
      </c>
      <c r="M122" s="42" t="s">
        <v>186</v>
      </c>
      <c r="N122" s="44">
        <f t="shared" si="3"/>
        <v>3.1268436578171092E-3</v>
      </c>
      <c r="O122" s="44">
        <f>+VLOOKUP(J122,TC!$B$6:$C$17,2,0)*PRECIOS!N122</f>
        <v>3.5359713101849195</v>
      </c>
      <c r="P122" s="42" t="str">
        <f t="shared" si="4"/>
        <v>Si</v>
      </c>
      <c r="Q122" s="44">
        <f>+IF(I122=1,O122,IF(I122=2,O122/(1+MRI!$C$18),(O122/(1+MRI!$D$18))/(1+MRI!$C$18)))</f>
        <v>3.2271639881580731</v>
      </c>
      <c r="R122" s="44">
        <f t="shared" si="5"/>
        <v>3.2271639881580731</v>
      </c>
    </row>
    <row r="123" spans="1:18" x14ac:dyDescent="0.3">
      <c r="A123" s="55">
        <v>122</v>
      </c>
      <c r="B123" s="55">
        <v>838</v>
      </c>
      <c r="C123" s="55" t="s">
        <v>239</v>
      </c>
      <c r="D123" s="55" t="s">
        <v>184</v>
      </c>
      <c r="E123" s="55" t="s">
        <v>162</v>
      </c>
      <c r="F123" s="55" t="s">
        <v>103</v>
      </c>
      <c r="G123" s="55" t="s">
        <v>208</v>
      </c>
      <c r="H123" s="55" t="s">
        <v>13</v>
      </c>
      <c r="I123" s="55">
        <v>2</v>
      </c>
      <c r="J123" s="55" t="s">
        <v>92</v>
      </c>
      <c r="K123" s="56">
        <v>985</v>
      </c>
      <c r="L123" s="55">
        <v>63600</v>
      </c>
      <c r="M123" s="55" t="s">
        <v>186</v>
      </c>
      <c r="N123" s="57">
        <f t="shared" si="3"/>
        <v>1.5487421383647799E-2</v>
      </c>
      <c r="O123" s="57">
        <f>+VLOOKUP(J123,TC!$B$6:$C$17,2,0)*PRECIOS!N123</f>
        <v>3.5191803737488305</v>
      </c>
      <c r="P123" s="55" t="str">
        <f t="shared" si="4"/>
        <v>Si</v>
      </c>
      <c r="Q123" s="57">
        <f>+IF(I123=1,O123,IF(I123=2,O123/(1+MRI!$C$18),(O123/(1+MRI!$D$18))/(1+MRI!$C$18)))</f>
        <v>3.2118394561863579</v>
      </c>
      <c r="R123" s="57">
        <f t="shared" si="5"/>
        <v>3.2118394561863579</v>
      </c>
    </row>
    <row r="124" spans="1:18" x14ac:dyDescent="0.3">
      <c r="A124" s="42">
        <v>123</v>
      </c>
      <c r="B124" s="42">
        <v>838</v>
      </c>
      <c r="C124" s="42" t="s">
        <v>239</v>
      </c>
      <c r="D124" s="42" t="s">
        <v>184</v>
      </c>
      <c r="E124" s="42" t="s">
        <v>148</v>
      </c>
      <c r="F124" s="42" t="s">
        <v>103</v>
      </c>
      <c r="G124" s="42" t="s">
        <v>208</v>
      </c>
      <c r="H124" s="42" t="s">
        <v>13</v>
      </c>
      <c r="I124" s="42">
        <v>2</v>
      </c>
      <c r="J124" s="42" t="s">
        <v>92</v>
      </c>
      <c r="K124" s="43">
        <v>1180</v>
      </c>
      <c r="L124" s="42">
        <v>67800</v>
      </c>
      <c r="M124" s="42" t="s">
        <v>186</v>
      </c>
      <c r="N124" s="44">
        <f t="shared" si="3"/>
        <v>1.7404129793510324E-2</v>
      </c>
      <c r="O124" s="44">
        <f>+VLOOKUP(J124,TC!$B$6:$C$17,2,0)*PRECIOS!N124</f>
        <v>3.9547107600602285</v>
      </c>
      <c r="P124" s="42" t="str">
        <f t="shared" si="4"/>
        <v>Si</v>
      </c>
      <c r="Q124" s="44">
        <f>+IF(I124=1,O124,IF(I124=2,O124/(1+MRI!$C$18),(O124/(1+MRI!$D$18))/(1+MRI!$C$18)))</f>
        <v>3.6093336254417108</v>
      </c>
      <c r="R124" s="44">
        <f t="shared" si="5"/>
        <v>3.6093336254417108</v>
      </c>
    </row>
    <row r="125" spans="1:18" x14ac:dyDescent="0.3">
      <c r="A125" s="55">
        <v>124</v>
      </c>
      <c r="B125" s="55">
        <v>838</v>
      </c>
      <c r="C125" s="55" t="s">
        <v>239</v>
      </c>
      <c r="D125" s="55" t="s">
        <v>184</v>
      </c>
      <c r="E125" s="55" t="s">
        <v>147</v>
      </c>
      <c r="F125" s="55" t="s">
        <v>103</v>
      </c>
      <c r="G125" s="55" t="s">
        <v>208</v>
      </c>
      <c r="H125" s="55" t="s">
        <v>13</v>
      </c>
      <c r="I125" s="55">
        <v>2</v>
      </c>
      <c r="J125" s="55" t="s">
        <v>92</v>
      </c>
      <c r="K125" s="56">
        <v>985</v>
      </c>
      <c r="L125" s="55">
        <v>33900</v>
      </c>
      <c r="M125" s="55" t="s">
        <v>186</v>
      </c>
      <c r="N125" s="57">
        <f t="shared" si="3"/>
        <v>2.9056047197640118E-2</v>
      </c>
      <c r="O125" s="57">
        <f>+VLOOKUP(J125,TC!$B$6:$C$17,2,0)*PRECIOS!N125</f>
        <v>6.6023560994225843</v>
      </c>
      <c r="P125" s="55" t="str">
        <f t="shared" si="4"/>
        <v>Si</v>
      </c>
      <c r="Q125" s="57">
        <f>+IF(I125=1,O125,IF(I125=2,O125/(1+MRI!$C$18),(O125/(1+MRI!$D$18))/(1+MRI!$C$18)))</f>
        <v>6.0257519001018389</v>
      </c>
      <c r="R125" s="57">
        <f t="shared" si="5"/>
        <v>6.0257519001018389</v>
      </c>
    </row>
    <row r="126" spans="1:18" x14ac:dyDescent="0.3">
      <c r="A126" s="42">
        <v>125</v>
      </c>
      <c r="B126" s="42" t="s">
        <v>7</v>
      </c>
      <c r="C126" s="42" t="s">
        <v>214</v>
      </c>
      <c r="D126" s="42" t="s">
        <v>180</v>
      </c>
      <c r="E126" s="42" t="s">
        <v>129</v>
      </c>
      <c r="F126" s="42" t="s">
        <v>9</v>
      </c>
      <c r="G126" s="42" t="s">
        <v>10</v>
      </c>
      <c r="H126" s="42" t="s">
        <v>20</v>
      </c>
      <c r="I126" s="42">
        <v>3</v>
      </c>
      <c r="J126" s="42" t="s">
        <v>12</v>
      </c>
      <c r="K126" s="43">
        <v>47.75</v>
      </c>
      <c r="L126" s="42">
        <v>320</v>
      </c>
      <c r="M126" s="42" t="s">
        <v>186</v>
      </c>
      <c r="N126" s="44">
        <f t="shared" si="3"/>
        <v>0.14921875000000001</v>
      </c>
      <c r="O126" s="44">
        <f>+VLOOKUP(J126,TC!$B$6:$C$17,2,0)*PRECIOS!N126</f>
        <v>125.77193667848071</v>
      </c>
      <c r="P126" s="42" t="str">
        <f t="shared" si="4"/>
        <v>No</v>
      </c>
      <c r="Q126" s="44">
        <f>+IF(I126=1,O126,IF(I126=2,O126/(1+MRI!$C$18),(O126/(1+MRI!$D$18))/(1+MRI!$C$18)))</f>
        <v>96.148827258695547</v>
      </c>
      <c r="R126" s="44" t="str">
        <f t="shared" si="5"/>
        <v/>
      </c>
    </row>
    <row r="127" spans="1:18" x14ac:dyDescent="0.3">
      <c r="A127" s="55">
        <v>126</v>
      </c>
      <c r="B127" s="55" t="s">
        <v>7</v>
      </c>
      <c r="C127" s="55" t="s">
        <v>214</v>
      </c>
      <c r="D127" s="55" t="s">
        <v>180</v>
      </c>
      <c r="E127" s="55" t="s">
        <v>129</v>
      </c>
      <c r="F127" s="55" t="s">
        <v>9</v>
      </c>
      <c r="G127" s="55" t="s">
        <v>10</v>
      </c>
      <c r="H127" s="55" t="s">
        <v>11</v>
      </c>
      <c r="I127" s="55">
        <v>1</v>
      </c>
      <c r="J127" s="55" t="s">
        <v>12</v>
      </c>
      <c r="K127" s="56">
        <v>34.54</v>
      </c>
      <c r="L127" s="55">
        <v>320</v>
      </c>
      <c r="M127" s="55" t="s">
        <v>186</v>
      </c>
      <c r="N127" s="57">
        <f t="shared" si="3"/>
        <v>0.10793749999999999</v>
      </c>
      <c r="O127" s="57">
        <f>+VLOOKUP(J127,TC!$B$6:$C$17,2,0)*PRECIOS!N127</f>
        <v>90.977229170151276</v>
      </c>
      <c r="P127" s="55" t="str">
        <f t="shared" si="4"/>
        <v>Si</v>
      </c>
      <c r="Q127" s="57">
        <f>+IF(I127=1,O127,IF(I127=2,O127/(1+MRI!$C$18),(O127/(1+MRI!$D$18))/(1+MRI!$C$18)))</f>
        <v>90.977229170151276</v>
      </c>
      <c r="R127" s="57">
        <f t="shared" si="5"/>
        <v>90.977229170151276</v>
      </c>
    </row>
    <row r="128" spans="1:18" x14ac:dyDescent="0.3">
      <c r="A128" s="42">
        <v>127</v>
      </c>
      <c r="B128" s="42" t="s">
        <v>7</v>
      </c>
      <c r="C128" s="42" t="s">
        <v>214</v>
      </c>
      <c r="D128" s="42" t="s">
        <v>180</v>
      </c>
      <c r="E128" s="42" t="s">
        <v>129</v>
      </c>
      <c r="F128" s="42" t="s">
        <v>9</v>
      </c>
      <c r="G128" s="42" t="s">
        <v>10</v>
      </c>
      <c r="H128" s="42" t="s">
        <v>13</v>
      </c>
      <c r="I128" s="42">
        <v>2</v>
      </c>
      <c r="J128" s="42" t="s">
        <v>12</v>
      </c>
      <c r="K128" s="43">
        <v>27.1</v>
      </c>
      <c r="L128" s="42">
        <v>320</v>
      </c>
      <c r="M128" s="42" t="s">
        <v>186</v>
      </c>
      <c r="N128" s="44">
        <f t="shared" si="3"/>
        <v>8.4687499999999999E-2</v>
      </c>
      <c r="O128" s="44">
        <f>+VLOOKUP(J128,TC!$B$6:$C$17,2,0)*PRECIOS!N128</f>
        <v>71.380512753650834</v>
      </c>
      <c r="P128" s="42" t="str">
        <f t="shared" si="4"/>
        <v>No</v>
      </c>
      <c r="Q128" s="44">
        <f>+IF(I128=1,O128,IF(I128=2,O128/(1+MRI!$C$18),(O128/(1+MRI!$D$18))/(1+MRI!$C$18)))</f>
        <v>65.1466315779562</v>
      </c>
      <c r="R128" s="44" t="str">
        <f t="shared" si="5"/>
        <v/>
      </c>
    </row>
    <row r="129" spans="1:18" x14ac:dyDescent="0.3">
      <c r="A129" s="55">
        <v>128</v>
      </c>
      <c r="B129" s="55" t="s">
        <v>7</v>
      </c>
      <c r="C129" s="55" t="s">
        <v>214</v>
      </c>
      <c r="D129" s="55" t="s">
        <v>180</v>
      </c>
      <c r="E129" s="55" t="s">
        <v>31</v>
      </c>
      <c r="F129" s="55" t="s">
        <v>9</v>
      </c>
      <c r="G129" s="55" t="s">
        <v>10</v>
      </c>
      <c r="H129" s="55" t="s">
        <v>20</v>
      </c>
      <c r="I129" s="55">
        <v>3</v>
      </c>
      <c r="J129" s="55" t="s">
        <v>12</v>
      </c>
      <c r="K129" s="56">
        <v>457.56</v>
      </c>
      <c r="L129" s="55">
        <v>1000</v>
      </c>
      <c r="M129" s="55" t="s">
        <v>186</v>
      </c>
      <c r="N129" s="57">
        <f t="shared" si="3"/>
        <v>0.45756000000000002</v>
      </c>
      <c r="O129" s="57">
        <f>+VLOOKUP(J129,TC!$B$6:$C$17,2,0)*PRECIOS!N129</f>
        <v>385.66337907672886</v>
      </c>
      <c r="P129" s="55" t="str">
        <f t="shared" si="4"/>
        <v>No</v>
      </c>
      <c r="Q129" s="57">
        <f>+IF(I129=1,O129,IF(I129=2,O129/(1+MRI!$C$18),(O129/(1+MRI!$D$18))/(1+MRI!$C$18)))</f>
        <v>294.82794488285646</v>
      </c>
      <c r="R129" s="57" t="str">
        <f t="shared" si="5"/>
        <v/>
      </c>
    </row>
    <row r="130" spans="1:18" x14ac:dyDescent="0.3">
      <c r="A130" s="42">
        <v>129</v>
      </c>
      <c r="B130" s="42" t="s">
        <v>7</v>
      </c>
      <c r="C130" s="42" t="s">
        <v>214</v>
      </c>
      <c r="D130" s="42" t="s">
        <v>180</v>
      </c>
      <c r="E130" s="42" t="s">
        <v>31</v>
      </c>
      <c r="F130" s="42" t="s">
        <v>9</v>
      </c>
      <c r="G130" s="42" t="s">
        <v>10</v>
      </c>
      <c r="H130" s="42" t="s">
        <v>11</v>
      </c>
      <c r="I130" s="42">
        <v>1</v>
      </c>
      <c r="J130" s="42" t="s">
        <v>12</v>
      </c>
      <c r="K130" s="43">
        <v>330.98</v>
      </c>
      <c r="L130" s="42">
        <v>1000</v>
      </c>
      <c r="M130" s="42" t="s">
        <v>186</v>
      </c>
      <c r="N130" s="44">
        <f t="shared" si="3"/>
        <v>0.33098</v>
      </c>
      <c r="O130" s="44">
        <f>+VLOOKUP(J130,TC!$B$6:$C$17,2,0)*PRECIOS!N130</f>
        <v>278.97295481863739</v>
      </c>
      <c r="P130" s="42" t="str">
        <f t="shared" si="4"/>
        <v>Si</v>
      </c>
      <c r="Q130" s="44">
        <f>+IF(I130=1,O130,IF(I130=2,O130/(1+MRI!$C$18),(O130/(1+MRI!$D$18))/(1+MRI!$C$18)))</f>
        <v>278.97295481863739</v>
      </c>
      <c r="R130" s="44">
        <f t="shared" si="5"/>
        <v>278.97295481863739</v>
      </c>
    </row>
    <row r="131" spans="1:18" x14ac:dyDescent="0.3">
      <c r="A131" s="55">
        <v>130</v>
      </c>
      <c r="B131" s="55" t="s">
        <v>7</v>
      </c>
      <c r="C131" s="55" t="s">
        <v>214</v>
      </c>
      <c r="D131" s="55" t="s">
        <v>180</v>
      </c>
      <c r="E131" s="55" t="s">
        <v>31</v>
      </c>
      <c r="F131" s="55" t="s">
        <v>9</v>
      </c>
      <c r="G131" s="55" t="s">
        <v>10</v>
      </c>
      <c r="H131" s="55" t="s">
        <v>13</v>
      </c>
      <c r="I131" s="55">
        <v>2</v>
      </c>
      <c r="J131" s="55" t="s">
        <v>12</v>
      </c>
      <c r="K131" s="56">
        <v>259.72000000000003</v>
      </c>
      <c r="L131" s="55">
        <v>1000</v>
      </c>
      <c r="M131" s="55" t="s">
        <v>186</v>
      </c>
      <c r="N131" s="57">
        <f t="shared" ref="N131:N194" si="6">+K131/L131</f>
        <v>0.25972000000000001</v>
      </c>
      <c r="O131" s="57">
        <f>+VLOOKUP(J131,TC!$B$6:$C$17,2,0)*PRECIOS!N131</f>
        <v>218.91007258896761</v>
      </c>
      <c r="P131" s="55" t="str">
        <f t="shared" ref="P131:P194" si="7">IF(_xlfn.MINIFS($I:$I,$F:$F,F131,$E:$E,E131)=I131,"Si","No")</f>
        <v>No</v>
      </c>
      <c r="Q131" s="57">
        <f>+IF(I131=1,O131,IF(I131=2,O131/(1+MRI!$C$18),(O131/(1+MRI!$D$18))/(1+MRI!$C$18)))</f>
        <v>199.79197819544544</v>
      </c>
      <c r="R131" s="57" t="str">
        <f t="shared" ref="R131:R194" si="8">+IF(P131="Si",Q131,"")</f>
        <v/>
      </c>
    </row>
    <row r="132" spans="1:18" x14ac:dyDescent="0.3">
      <c r="A132" s="42">
        <v>131</v>
      </c>
      <c r="B132" s="42" t="s">
        <v>7</v>
      </c>
      <c r="C132" s="42" t="s">
        <v>214</v>
      </c>
      <c r="D132" s="42" t="s">
        <v>180</v>
      </c>
      <c r="E132" s="42" t="s">
        <v>124</v>
      </c>
      <c r="F132" s="42" t="s">
        <v>9</v>
      </c>
      <c r="G132" s="42" t="s">
        <v>10</v>
      </c>
      <c r="H132" s="42" t="s">
        <v>20</v>
      </c>
      <c r="I132" s="42">
        <v>3</v>
      </c>
      <c r="J132" s="42" t="s">
        <v>12</v>
      </c>
      <c r="K132" s="43">
        <v>1830.28</v>
      </c>
      <c r="L132" s="42">
        <v>4000</v>
      </c>
      <c r="M132" s="42" t="s">
        <v>186</v>
      </c>
      <c r="N132" s="44">
        <f t="shared" si="6"/>
        <v>0.45756999999999998</v>
      </c>
      <c r="O132" s="44">
        <f>+VLOOKUP(J132,TC!$B$6:$C$17,2,0)*PRECIOS!N132</f>
        <v>385.67180777196171</v>
      </c>
      <c r="P132" s="42" t="str">
        <f t="shared" si="7"/>
        <v>No</v>
      </c>
      <c r="Q132" s="44">
        <f>+IF(I132=1,O132,IF(I132=2,O132/(1+MRI!$C$18),(O132/(1+MRI!$D$18))/(1+MRI!$C$18)))</f>
        <v>294.83438836447374</v>
      </c>
      <c r="R132" s="44" t="str">
        <f t="shared" si="8"/>
        <v/>
      </c>
    </row>
    <row r="133" spans="1:18" x14ac:dyDescent="0.3">
      <c r="A133" s="55">
        <v>132</v>
      </c>
      <c r="B133" s="55" t="s">
        <v>7</v>
      </c>
      <c r="C133" s="55" t="s">
        <v>214</v>
      </c>
      <c r="D133" s="55" t="s">
        <v>180</v>
      </c>
      <c r="E133" s="55" t="s">
        <v>124</v>
      </c>
      <c r="F133" s="55" t="s">
        <v>9</v>
      </c>
      <c r="G133" s="55" t="s">
        <v>10</v>
      </c>
      <c r="H133" s="55" t="s">
        <v>11</v>
      </c>
      <c r="I133" s="55">
        <v>1</v>
      </c>
      <c r="J133" s="55" t="s">
        <v>12</v>
      </c>
      <c r="K133" s="56">
        <v>1323.95</v>
      </c>
      <c r="L133" s="55">
        <v>4000</v>
      </c>
      <c r="M133" s="55" t="s">
        <v>186</v>
      </c>
      <c r="N133" s="57">
        <f t="shared" si="6"/>
        <v>0.33098749999999999</v>
      </c>
      <c r="O133" s="57">
        <f>+VLOOKUP(J133,TC!$B$6:$C$17,2,0)*PRECIOS!N133</f>
        <v>278.97927634006203</v>
      </c>
      <c r="P133" s="55" t="str">
        <f t="shared" si="7"/>
        <v>Si</v>
      </c>
      <c r="Q133" s="57">
        <f>+IF(I133=1,O133,IF(I133=2,O133/(1+MRI!$C$18),(O133/(1+MRI!$D$18))/(1+MRI!$C$18)))</f>
        <v>278.97927634006203</v>
      </c>
      <c r="R133" s="57">
        <f t="shared" si="8"/>
        <v>278.97927634006203</v>
      </c>
    </row>
    <row r="134" spans="1:18" x14ac:dyDescent="0.3">
      <c r="A134" s="42">
        <v>133</v>
      </c>
      <c r="B134" s="42" t="s">
        <v>7</v>
      </c>
      <c r="C134" s="42" t="s">
        <v>214</v>
      </c>
      <c r="D134" s="42" t="s">
        <v>180</v>
      </c>
      <c r="E134" s="42" t="s">
        <v>124</v>
      </c>
      <c r="F134" s="42" t="s">
        <v>9</v>
      </c>
      <c r="G134" s="42" t="s">
        <v>10</v>
      </c>
      <c r="H134" s="42" t="s">
        <v>13</v>
      </c>
      <c r="I134" s="42">
        <v>2</v>
      </c>
      <c r="J134" s="42" t="s">
        <v>12</v>
      </c>
      <c r="K134" s="43">
        <v>1038.9000000000001</v>
      </c>
      <c r="L134" s="42">
        <v>4000</v>
      </c>
      <c r="M134" s="42" t="s">
        <v>186</v>
      </c>
      <c r="N134" s="44">
        <f t="shared" si="6"/>
        <v>0.25972500000000004</v>
      </c>
      <c r="O134" s="44">
        <f>+VLOOKUP(J134,TC!$B$6:$C$17,2,0)*PRECIOS!N134</f>
        <v>218.91428693658409</v>
      </c>
      <c r="P134" s="42" t="str">
        <f t="shared" si="7"/>
        <v>No</v>
      </c>
      <c r="Q134" s="44">
        <f>+IF(I134=1,O134,IF(I134=2,O134/(1+MRI!$C$18),(O134/(1+MRI!$D$18))/(1+MRI!$C$18)))</f>
        <v>199.79582449103677</v>
      </c>
      <c r="R134" s="44" t="str">
        <f t="shared" si="8"/>
        <v/>
      </c>
    </row>
    <row r="135" spans="1:18" x14ac:dyDescent="0.3">
      <c r="A135" s="55">
        <v>134</v>
      </c>
      <c r="B135" s="55" t="s">
        <v>7</v>
      </c>
      <c r="C135" s="55" t="s">
        <v>214</v>
      </c>
      <c r="D135" s="55" t="s">
        <v>180</v>
      </c>
      <c r="E135" s="55" t="s">
        <v>125</v>
      </c>
      <c r="F135" s="55" t="s">
        <v>9</v>
      </c>
      <c r="G135" s="55" t="s">
        <v>10</v>
      </c>
      <c r="H135" s="55" t="s">
        <v>20</v>
      </c>
      <c r="I135" s="55">
        <v>3</v>
      </c>
      <c r="J135" s="55" t="s">
        <v>12</v>
      </c>
      <c r="K135" s="56">
        <v>457.56</v>
      </c>
      <c r="L135" s="55">
        <v>1000</v>
      </c>
      <c r="M135" s="55" t="s">
        <v>186</v>
      </c>
      <c r="N135" s="57">
        <f t="shared" si="6"/>
        <v>0.45756000000000002</v>
      </c>
      <c r="O135" s="57">
        <f>+VLOOKUP(J135,TC!$B$6:$C$17,2,0)*PRECIOS!N135</f>
        <v>385.66337907672886</v>
      </c>
      <c r="P135" s="55" t="str">
        <f t="shared" si="7"/>
        <v>No</v>
      </c>
      <c r="Q135" s="57">
        <f>+IF(I135=1,O135,IF(I135=2,O135/(1+MRI!$C$18),(O135/(1+MRI!$D$18))/(1+MRI!$C$18)))</f>
        <v>294.82794488285646</v>
      </c>
      <c r="R135" s="57" t="str">
        <f t="shared" si="8"/>
        <v/>
      </c>
    </row>
    <row r="136" spans="1:18" x14ac:dyDescent="0.3">
      <c r="A136" s="42">
        <v>135</v>
      </c>
      <c r="B136" s="42" t="s">
        <v>7</v>
      </c>
      <c r="C136" s="42" t="s">
        <v>214</v>
      </c>
      <c r="D136" s="42" t="s">
        <v>180</v>
      </c>
      <c r="E136" s="42" t="s">
        <v>125</v>
      </c>
      <c r="F136" s="42" t="s">
        <v>9</v>
      </c>
      <c r="G136" s="42" t="s">
        <v>10</v>
      </c>
      <c r="H136" s="42" t="s">
        <v>11</v>
      </c>
      <c r="I136" s="42">
        <v>1</v>
      </c>
      <c r="J136" s="42" t="s">
        <v>12</v>
      </c>
      <c r="K136" s="43">
        <v>330.98</v>
      </c>
      <c r="L136" s="42">
        <v>1000</v>
      </c>
      <c r="M136" s="42" t="s">
        <v>186</v>
      </c>
      <c r="N136" s="44">
        <f t="shared" si="6"/>
        <v>0.33098</v>
      </c>
      <c r="O136" s="44">
        <f>+VLOOKUP(J136,TC!$B$6:$C$17,2,0)*PRECIOS!N136</f>
        <v>278.97295481863739</v>
      </c>
      <c r="P136" s="42" t="str">
        <f t="shared" si="7"/>
        <v>Si</v>
      </c>
      <c r="Q136" s="44">
        <f>+IF(I136=1,O136,IF(I136=2,O136/(1+MRI!$C$18),(O136/(1+MRI!$D$18))/(1+MRI!$C$18)))</f>
        <v>278.97295481863739</v>
      </c>
      <c r="R136" s="44">
        <f t="shared" si="8"/>
        <v>278.97295481863739</v>
      </c>
    </row>
    <row r="137" spans="1:18" x14ac:dyDescent="0.3">
      <c r="A137" s="55">
        <v>136</v>
      </c>
      <c r="B137" s="55" t="s">
        <v>7</v>
      </c>
      <c r="C137" s="55" t="s">
        <v>214</v>
      </c>
      <c r="D137" s="55" t="s">
        <v>180</v>
      </c>
      <c r="E137" s="55" t="s">
        <v>125</v>
      </c>
      <c r="F137" s="55" t="s">
        <v>9</v>
      </c>
      <c r="G137" s="55" t="s">
        <v>10</v>
      </c>
      <c r="H137" s="55" t="s">
        <v>13</v>
      </c>
      <c r="I137" s="55">
        <v>2</v>
      </c>
      <c r="J137" s="55" t="s">
        <v>12</v>
      </c>
      <c r="K137" s="56">
        <v>259.72000000000003</v>
      </c>
      <c r="L137" s="55">
        <v>1000</v>
      </c>
      <c r="M137" s="55" t="s">
        <v>186</v>
      </c>
      <c r="N137" s="57">
        <f t="shared" si="6"/>
        <v>0.25972000000000001</v>
      </c>
      <c r="O137" s="57">
        <f>+VLOOKUP(J137,TC!$B$6:$C$17,2,0)*PRECIOS!N137</f>
        <v>218.91007258896761</v>
      </c>
      <c r="P137" s="55" t="str">
        <f t="shared" si="7"/>
        <v>No</v>
      </c>
      <c r="Q137" s="57">
        <f>+IF(I137=1,O137,IF(I137=2,O137/(1+MRI!$C$18),(O137/(1+MRI!$D$18))/(1+MRI!$C$18)))</f>
        <v>199.79197819544544</v>
      </c>
      <c r="R137" s="57" t="str">
        <f t="shared" si="8"/>
        <v/>
      </c>
    </row>
    <row r="138" spans="1:18" x14ac:dyDescent="0.3">
      <c r="A138" s="42">
        <v>137</v>
      </c>
      <c r="B138" s="42" t="s">
        <v>7</v>
      </c>
      <c r="C138" s="42" t="s">
        <v>214</v>
      </c>
      <c r="D138" s="42" t="s">
        <v>180</v>
      </c>
      <c r="E138" s="42" t="s">
        <v>126</v>
      </c>
      <c r="F138" s="42" t="s">
        <v>9</v>
      </c>
      <c r="G138" s="42" t="s">
        <v>10</v>
      </c>
      <c r="H138" s="42" t="s">
        <v>20</v>
      </c>
      <c r="I138" s="42">
        <v>3</v>
      </c>
      <c r="J138" s="42" t="s">
        <v>12</v>
      </c>
      <c r="K138" s="43">
        <v>456.37</v>
      </c>
      <c r="L138" s="42">
        <v>1000</v>
      </c>
      <c r="M138" s="42" t="s">
        <v>186</v>
      </c>
      <c r="N138" s="44">
        <f t="shared" si="6"/>
        <v>0.45637</v>
      </c>
      <c r="O138" s="44">
        <f>+VLOOKUP(J138,TC!$B$6:$C$17,2,0)*PRECIOS!N138</f>
        <v>384.66036434401332</v>
      </c>
      <c r="P138" s="42" t="str">
        <f t="shared" si="7"/>
        <v>No</v>
      </c>
      <c r="Q138" s="44">
        <f>+IF(I138=1,O138,IF(I138=2,O138/(1+MRI!$C$18),(O138/(1+MRI!$D$18))/(1+MRI!$C$18)))</f>
        <v>294.06117057039336</v>
      </c>
      <c r="R138" s="44" t="str">
        <f t="shared" si="8"/>
        <v/>
      </c>
    </row>
    <row r="139" spans="1:18" x14ac:dyDescent="0.3">
      <c r="A139" s="55">
        <v>138</v>
      </c>
      <c r="B139" s="55" t="s">
        <v>7</v>
      </c>
      <c r="C139" s="55" t="s">
        <v>214</v>
      </c>
      <c r="D139" s="55" t="s">
        <v>180</v>
      </c>
      <c r="E139" s="55" t="s">
        <v>126</v>
      </c>
      <c r="F139" s="55" t="s">
        <v>9</v>
      </c>
      <c r="G139" s="55" t="s">
        <v>10</v>
      </c>
      <c r="H139" s="55" t="s">
        <v>11</v>
      </c>
      <c r="I139" s="55">
        <v>1</v>
      </c>
      <c r="J139" s="55" t="s">
        <v>12</v>
      </c>
      <c r="K139" s="56">
        <v>330.14</v>
      </c>
      <c r="L139" s="55">
        <v>1000</v>
      </c>
      <c r="M139" s="55" t="s">
        <v>186</v>
      </c>
      <c r="N139" s="57">
        <f t="shared" si="6"/>
        <v>0.33013999999999999</v>
      </c>
      <c r="O139" s="57">
        <f>+VLOOKUP(J139,TC!$B$6:$C$17,2,0)*PRECIOS!N139</f>
        <v>278.26494441907346</v>
      </c>
      <c r="P139" s="55" t="str">
        <f t="shared" si="7"/>
        <v>Si</v>
      </c>
      <c r="Q139" s="57">
        <f>+IF(I139=1,O139,IF(I139=2,O139/(1+MRI!$C$18),(O139/(1+MRI!$D$18))/(1+MRI!$C$18)))</f>
        <v>278.26494441907346</v>
      </c>
      <c r="R139" s="57">
        <f t="shared" si="8"/>
        <v>278.26494441907346</v>
      </c>
    </row>
    <row r="140" spans="1:18" x14ac:dyDescent="0.3">
      <c r="A140" s="42">
        <v>139</v>
      </c>
      <c r="B140" s="42" t="s">
        <v>7</v>
      </c>
      <c r="C140" s="42" t="s">
        <v>214</v>
      </c>
      <c r="D140" s="42" t="s">
        <v>180</v>
      </c>
      <c r="E140" s="42" t="s">
        <v>126</v>
      </c>
      <c r="F140" s="42" t="s">
        <v>9</v>
      </c>
      <c r="G140" s="42" t="s">
        <v>10</v>
      </c>
      <c r="H140" s="42" t="s">
        <v>13</v>
      </c>
      <c r="I140" s="42">
        <v>2</v>
      </c>
      <c r="J140" s="42" t="s">
        <v>12</v>
      </c>
      <c r="K140" s="43">
        <v>259.06</v>
      </c>
      <c r="L140" s="42">
        <v>1000</v>
      </c>
      <c r="M140" s="42" t="s">
        <v>186</v>
      </c>
      <c r="N140" s="44">
        <f t="shared" si="6"/>
        <v>0.25906000000000001</v>
      </c>
      <c r="O140" s="44">
        <f>+VLOOKUP(J140,TC!$B$6:$C$17,2,0)*PRECIOS!N140</f>
        <v>218.35377870359599</v>
      </c>
      <c r="P140" s="42" t="str">
        <f t="shared" si="7"/>
        <v>No</v>
      </c>
      <c r="Q140" s="44">
        <f>+IF(I140=1,O140,IF(I140=2,O140/(1+MRI!$C$18),(O140/(1+MRI!$D$18))/(1+MRI!$C$18)))</f>
        <v>199.2842671773914</v>
      </c>
      <c r="R140" s="44" t="str">
        <f t="shared" si="8"/>
        <v/>
      </c>
    </row>
    <row r="141" spans="1:18" x14ac:dyDescent="0.3">
      <c r="A141" s="55">
        <v>140</v>
      </c>
      <c r="B141" s="55" t="s">
        <v>7</v>
      </c>
      <c r="C141" s="55" t="s">
        <v>214</v>
      </c>
      <c r="D141" s="55" t="s">
        <v>180</v>
      </c>
      <c r="E141" s="55" t="s">
        <v>26</v>
      </c>
      <c r="F141" s="55" t="s">
        <v>9</v>
      </c>
      <c r="G141" s="55" t="s">
        <v>10</v>
      </c>
      <c r="H141" s="55" t="s">
        <v>20</v>
      </c>
      <c r="I141" s="55">
        <v>3</v>
      </c>
      <c r="J141" s="55" t="s">
        <v>12</v>
      </c>
      <c r="K141" s="56">
        <v>912.77</v>
      </c>
      <c r="L141" s="55">
        <v>2000</v>
      </c>
      <c r="M141" s="55" t="s">
        <v>186</v>
      </c>
      <c r="N141" s="57">
        <f t="shared" si="6"/>
        <v>0.45638499999999999</v>
      </c>
      <c r="O141" s="57">
        <f>+VLOOKUP(J141,TC!$B$6:$C$17,2,0)*PRECIOS!N141</f>
        <v>384.67300738686271</v>
      </c>
      <c r="P141" s="55" t="str">
        <f t="shared" si="7"/>
        <v>No</v>
      </c>
      <c r="Q141" s="57">
        <f>+IF(I141=1,O141,IF(I141=2,O141/(1+MRI!$C$18),(O141/(1+MRI!$D$18))/(1+MRI!$C$18)))</f>
        <v>294.07083579281937</v>
      </c>
      <c r="R141" s="57" t="str">
        <f t="shared" si="8"/>
        <v/>
      </c>
    </row>
    <row r="142" spans="1:18" x14ac:dyDescent="0.3">
      <c r="A142" s="42">
        <v>141</v>
      </c>
      <c r="B142" s="42" t="s">
        <v>7</v>
      </c>
      <c r="C142" s="42" t="s">
        <v>214</v>
      </c>
      <c r="D142" s="42" t="s">
        <v>180</v>
      </c>
      <c r="E142" s="42" t="s">
        <v>26</v>
      </c>
      <c r="F142" s="42" t="s">
        <v>9</v>
      </c>
      <c r="G142" s="42" t="s">
        <v>10</v>
      </c>
      <c r="H142" s="42" t="s">
        <v>11</v>
      </c>
      <c r="I142" s="42">
        <v>1</v>
      </c>
      <c r="J142" s="42" t="s">
        <v>12</v>
      </c>
      <c r="K142" s="43">
        <v>660.26</v>
      </c>
      <c r="L142" s="42">
        <v>2000</v>
      </c>
      <c r="M142" s="42" t="s">
        <v>186</v>
      </c>
      <c r="N142" s="44">
        <f t="shared" si="6"/>
        <v>0.33012999999999998</v>
      </c>
      <c r="O142" s="44">
        <f>+VLOOKUP(J142,TC!$B$6:$C$17,2,0)*PRECIOS!N142</f>
        <v>278.25651572384055</v>
      </c>
      <c r="P142" s="42" t="str">
        <f t="shared" si="7"/>
        <v>Si</v>
      </c>
      <c r="Q142" s="44">
        <f>+IF(I142=1,O142,IF(I142=2,O142/(1+MRI!$C$18),(O142/(1+MRI!$D$18))/(1+MRI!$C$18)))</f>
        <v>278.25651572384055</v>
      </c>
      <c r="R142" s="44">
        <f t="shared" si="8"/>
        <v>278.25651572384055</v>
      </c>
    </row>
    <row r="143" spans="1:18" x14ac:dyDescent="0.3">
      <c r="A143" s="55">
        <v>142</v>
      </c>
      <c r="B143" s="55" t="s">
        <v>7</v>
      </c>
      <c r="C143" s="55" t="s">
        <v>214</v>
      </c>
      <c r="D143" s="55" t="s">
        <v>180</v>
      </c>
      <c r="E143" s="55" t="s">
        <v>26</v>
      </c>
      <c r="F143" s="55" t="s">
        <v>9</v>
      </c>
      <c r="G143" s="55" t="s">
        <v>10</v>
      </c>
      <c r="H143" s="55" t="s">
        <v>13</v>
      </c>
      <c r="I143" s="55">
        <v>2</v>
      </c>
      <c r="J143" s="55" t="s">
        <v>12</v>
      </c>
      <c r="K143" s="56">
        <v>518.11</v>
      </c>
      <c r="L143" s="55">
        <v>2000</v>
      </c>
      <c r="M143" s="55" t="s">
        <v>186</v>
      </c>
      <c r="N143" s="57">
        <f t="shared" si="6"/>
        <v>0.25905499999999998</v>
      </c>
      <c r="O143" s="57">
        <f>+VLOOKUP(J143,TC!$B$6:$C$17,2,0)*PRECIOS!N143</f>
        <v>218.34956435597951</v>
      </c>
      <c r="P143" s="55" t="str">
        <f t="shared" si="7"/>
        <v>No</v>
      </c>
      <c r="Q143" s="57">
        <f>+IF(I143=1,O143,IF(I143=2,O143/(1+MRI!$C$18),(O143/(1+MRI!$D$18))/(1+MRI!$C$18)))</f>
        <v>199.28042088180004</v>
      </c>
      <c r="R143" s="57" t="str">
        <f t="shared" si="8"/>
        <v/>
      </c>
    </row>
    <row r="144" spans="1:18" x14ac:dyDescent="0.3">
      <c r="A144" s="42">
        <v>143</v>
      </c>
      <c r="B144" s="42" t="s">
        <v>7</v>
      </c>
      <c r="C144" s="42" t="s">
        <v>214</v>
      </c>
      <c r="D144" s="42" t="s">
        <v>180</v>
      </c>
      <c r="E144" s="42" t="s">
        <v>127</v>
      </c>
      <c r="F144" s="42" t="s">
        <v>9</v>
      </c>
      <c r="G144" s="42" t="s">
        <v>10</v>
      </c>
      <c r="H144" s="42" t="s">
        <v>20</v>
      </c>
      <c r="I144" s="42">
        <v>3</v>
      </c>
      <c r="J144" s="42" t="s">
        <v>12</v>
      </c>
      <c r="K144" s="43">
        <v>1825.51</v>
      </c>
      <c r="L144" s="42">
        <v>4000</v>
      </c>
      <c r="M144" s="42" t="s">
        <v>186</v>
      </c>
      <c r="N144" s="44">
        <f t="shared" si="6"/>
        <v>0.45637749999999999</v>
      </c>
      <c r="O144" s="44">
        <f>+VLOOKUP(J144,TC!$B$6:$C$17,2,0)*PRECIOS!N144</f>
        <v>384.66668586543801</v>
      </c>
      <c r="P144" s="42" t="str">
        <f t="shared" si="7"/>
        <v>No</v>
      </c>
      <c r="Q144" s="44">
        <f>+IF(I144=1,O144,IF(I144=2,O144/(1+MRI!$C$18),(O144/(1+MRI!$D$18))/(1+MRI!$C$18)))</f>
        <v>294.06600318160633</v>
      </c>
      <c r="R144" s="44" t="str">
        <f t="shared" si="8"/>
        <v/>
      </c>
    </row>
    <row r="145" spans="1:18" x14ac:dyDescent="0.3">
      <c r="A145" s="55">
        <v>144</v>
      </c>
      <c r="B145" s="55" t="s">
        <v>7</v>
      </c>
      <c r="C145" s="55" t="s">
        <v>214</v>
      </c>
      <c r="D145" s="55" t="s">
        <v>180</v>
      </c>
      <c r="E145" s="55" t="s">
        <v>127</v>
      </c>
      <c r="F145" s="55" t="s">
        <v>9</v>
      </c>
      <c r="G145" s="55" t="s">
        <v>10</v>
      </c>
      <c r="H145" s="55" t="s">
        <v>11</v>
      </c>
      <c r="I145" s="55">
        <v>1</v>
      </c>
      <c r="J145" s="55" t="s">
        <v>12</v>
      </c>
      <c r="K145" s="56">
        <v>1320.5</v>
      </c>
      <c r="L145" s="55">
        <v>4000</v>
      </c>
      <c r="M145" s="55" t="s">
        <v>186</v>
      </c>
      <c r="N145" s="57">
        <f t="shared" si="6"/>
        <v>0.330125</v>
      </c>
      <c r="O145" s="57">
        <f>+VLOOKUP(J145,TC!$B$6:$C$17,2,0)*PRECIOS!N145</f>
        <v>278.25230137622412</v>
      </c>
      <c r="P145" s="55" t="str">
        <f t="shared" si="7"/>
        <v>Si</v>
      </c>
      <c r="Q145" s="57">
        <f>+IF(I145=1,O145,IF(I145=2,O145/(1+MRI!$C$18),(O145/(1+MRI!$D$18))/(1+MRI!$C$18)))</f>
        <v>278.25230137622412</v>
      </c>
      <c r="R145" s="57">
        <f t="shared" si="8"/>
        <v>278.25230137622412</v>
      </c>
    </row>
    <row r="146" spans="1:18" x14ac:dyDescent="0.3">
      <c r="A146" s="42">
        <v>145</v>
      </c>
      <c r="B146" s="42" t="s">
        <v>7</v>
      </c>
      <c r="C146" s="42" t="s">
        <v>214</v>
      </c>
      <c r="D146" s="42" t="s">
        <v>180</v>
      </c>
      <c r="E146" s="42" t="s">
        <v>127</v>
      </c>
      <c r="F146" s="42" t="s">
        <v>9</v>
      </c>
      <c r="G146" s="42" t="s">
        <v>10</v>
      </c>
      <c r="H146" s="42" t="s">
        <v>13</v>
      </c>
      <c r="I146" s="42">
        <v>2</v>
      </c>
      <c r="J146" s="42" t="s">
        <v>12</v>
      </c>
      <c r="K146" s="43">
        <v>1036.2</v>
      </c>
      <c r="L146" s="42">
        <v>4000</v>
      </c>
      <c r="M146" s="42" t="s">
        <v>186</v>
      </c>
      <c r="N146" s="44">
        <f t="shared" si="6"/>
        <v>0.25905</v>
      </c>
      <c r="O146" s="44">
        <f>+VLOOKUP(J146,TC!$B$6:$C$17,2,0)*PRECIOS!N146</f>
        <v>218.34535000836308</v>
      </c>
      <c r="P146" s="42" t="str">
        <f t="shared" si="7"/>
        <v>No</v>
      </c>
      <c r="Q146" s="44">
        <f>+IF(I146=1,O146,IF(I146=2,O146/(1+MRI!$C$18),(O146/(1+MRI!$D$18))/(1+MRI!$C$18)))</f>
        <v>199.27657458620877</v>
      </c>
      <c r="R146" s="44" t="str">
        <f t="shared" si="8"/>
        <v/>
      </c>
    </row>
    <row r="147" spans="1:18" x14ac:dyDescent="0.3">
      <c r="A147" s="55">
        <v>146</v>
      </c>
      <c r="B147" s="55" t="s">
        <v>7</v>
      </c>
      <c r="C147" s="55" t="s">
        <v>216</v>
      </c>
      <c r="D147" s="55" t="s">
        <v>180</v>
      </c>
      <c r="E147" s="55" t="s">
        <v>126</v>
      </c>
      <c r="F147" s="55" t="s">
        <v>15</v>
      </c>
      <c r="G147" s="55" t="s">
        <v>16</v>
      </c>
      <c r="H147" s="55" t="s">
        <v>13</v>
      </c>
      <c r="I147" s="55">
        <v>2</v>
      </c>
      <c r="J147" s="55" t="s">
        <v>17</v>
      </c>
      <c r="K147" s="56">
        <v>52145</v>
      </c>
      <c r="L147" s="55">
        <v>1000</v>
      </c>
      <c r="M147" s="55" t="s">
        <v>186</v>
      </c>
      <c r="N147" s="57">
        <f t="shared" si="6"/>
        <v>52.145000000000003</v>
      </c>
      <c r="O147" s="57">
        <f>+VLOOKUP(J147,TC!$B$6:$C$17,2,0)*PRECIOS!N147</f>
        <v>262.06681959814796</v>
      </c>
      <c r="P147" s="55" t="str">
        <f t="shared" si="7"/>
        <v>Si</v>
      </c>
      <c r="Q147" s="57">
        <f>+IF(I147=1,O147,IF(I147=2,O147/(1+MRI!$C$18),(O147/(1+MRI!$D$18))/(1+MRI!$C$18)))</f>
        <v>239.1797128733017</v>
      </c>
      <c r="R147" s="57">
        <f t="shared" si="8"/>
        <v>239.1797128733017</v>
      </c>
    </row>
    <row r="148" spans="1:18" x14ac:dyDescent="0.3">
      <c r="A148" s="42">
        <v>147</v>
      </c>
      <c r="B148" s="42" t="s">
        <v>7</v>
      </c>
      <c r="C148" s="42" t="s">
        <v>216</v>
      </c>
      <c r="D148" s="42" t="s">
        <v>180</v>
      </c>
      <c r="E148" s="42" t="s">
        <v>127</v>
      </c>
      <c r="F148" s="42" t="s">
        <v>15</v>
      </c>
      <c r="G148" s="42" t="s">
        <v>16</v>
      </c>
      <c r="H148" s="42" t="s">
        <v>13</v>
      </c>
      <c r="I148" s="42">
        <v>2</v>
      </c>
      <c r="J148" s="42" t="s">
        <v>17</v>
      </c>
      <c r="K148" s="43">
        <v>208580</v>
      </c>
      <c r="L148" s="42">
        <v>4000</v>
      </c>
      <c r="M148" s="42" t="s">
        <v>186</v>
      </c>
      <c r="N148" s="44">
        <f t="shared" si="6"/>
        <v>52.145000000000003</v>
      </c>
      <c r="O148" s="44">
        <f>+VLOOKUP(J148,TC!$B$6:$C$17,2,0)*PRECIOS!N148</f>
        <v>262.06681959814796</v>
      </c>
      <c r="P148" s="42" t="str">
        <f t="shared" si="7"/>
        <v>Si</v>
      </c>
      <c r="Q148" s="44">
        <f>+IF(I148=1,O148,IF(I148=2,O148/(1+MRI!$C$18),(O148/(1+MRI!$D$18))/(1+MRI!$C$18)))</f>
        <v>239.1797128733017</v>
      </c>
      <c r="R148" s="44">
        <f t="shared" si="8"/>
        <v>239.1797128733017</v>
      </c>
    </row>
    <row r="149" spans="1:18" x14ac:dyDescent="0.3">
      <c r="A149" s="55">
        <v>148</v>
      </c>
      <c r="B149" s="55" t="s">
        <v>7</v>
      </c>
      <c r="C149" s="55" t="s">
        <v>216</v>
      </c>
      <c r="D149" s="55" t="s">
        <v>180</v>
      </c>
      <c r="E149" s="55" t="s">
        <v>127</v>
      </c>
      <c r="F149" s="55" t="s">
        <v>15</v>
      </c>
      <c r="G149" s="55" t="s">
        <v>51</v>
      </c>
      <c r="H149" s="55" t="s">
        <v>13</v>
      </c>
      <c r="I149" s="55">
        <v>2</v>
      </c>
      <c r="J149" s="55" t="s">
        <v>17</v>
      </c>
      <c r="K149" s="56">
        <v>239999</v>
      </c>
      <c r="L149" s="55">
        <v>4000</v>
      </c>
      <c r="M149" s="55" t="s">
        <v>186</v>
      </c>
      <c r="N149" s="57">
        <f t="shared" si="6"/>
        <v>59.999749999999999</v>
      </c>
      <c r="O149" s="57">
        <f>+VLOOKUP(J149,TC!$B$6:$C$17,2,0)*PRECIOS!N149</f>
        <v>301.54269170934845</v>
      </c>
      <c r="P149" s="55" t="str">
        <f t="shared" si="7"/>
        <v>Si</v>
      </c>
      <c r="Q149" s="57">
        <f>+IF(I149=1,O149,IF(I149=2,O149/(1+MRI!$C$18),(O149/(1+MRI!$D$18))/(1+MRI!$C$18)))</f>
        <v>275.20803485415439</v>
      </c>
      <c r="R149" s="57">
        <f t="shared" si="8"/>
        <v>275.20803485415439</v>
      </c>
    </row>
    <row r="150" spans="1:18" x14ac:dyDescent="0.3">
      <c r="A150" s="42">
        <v>149</v>
      </c>
      <c r="B150" s="42" t="s">
        <v>7</v>
      </c>
      <c r="C150" s="42" t="s">
        <v>217</v>
      </c>
      <c r="D150" s="42" t="s">
        <v>180</v>
      </c>
      <c r="E150" s="42" t="s">
        <v>127</v>
      </c>
      <c r="F150" s="42" t="s">
        <v>97</v>
      </c>
      <c r="G150" s="42" t="s">
        <v>134</v>
      </c>
      <c r="H150" s="42" t="s">
        <v>13</v>
      </c>
      <c r="I150" s="42">
        <v>2</v>
      </c>
      <c r="J150" s="42" t="s">
        <v>25</v>
      </c>
      <c r="K150" s="43">
        <v>682.9</v>
      </c>
      <c r="L150" s="42">
        <v>4000</v>
      </c>
      <c r="M150" s="42" t="s">
        <v>186</v>
      </c>
      <c r="N150" s="44">
        <f t="shared" si="6"/>
        <v>0.17072499999999999</v>
      </c>
      <c r="O150" s="44">
        <f>+VLOOKUP(J150,TC!$B$6:$C$17,2,0)*PRECIOS!N150</f>
        <v>732.68858112955195</v>
      </c>
      <c r="P150" s="42" t="str">
        <f t="shared" si="7"/>
        <v>Si</v>
      </c>
      <c r="Q150" s="44">
        <f>+IF(I150=1,O150,IF(I150=2,O150/(1+MRI!$C$18),(O150/(1+MRI!$D$18))/(1+MRI!$C$18)))</f>
        <v>668.70061890639863</v>
      </c>
      <c r="R150" s="44">
        <f t="shared" si="8"/>
        <v>668.70061890639863</v>
      </c>
    </row>
    <row r="151" spans="1:18" x14ac:dyDescent="0.3">
      <c r="A151" s="55">
        <v>150</v>
      </c>
      <c r="B151" s="55" t="s">
        <v>7</v>
      </c>
      <c r="C151" s="55" t="s">
        <v>218</v>
      </c>
      <c r="D151" s="55" t="s">
        <v>180</v>
      </c>
      <c r="E151" s="55" t="s">
        <v>32</v>
      </c>
      <c r="F151" s="55" t="s">
        <v>23</v>
      </c>
      <c r="G151" s="55" t="s">
        <v>24</v>
      </c>
      <c r="H151" s="55" t="s">
        <v>13</v>
      </c>
      <c r="I151" s="55">
        <v>2</v>
      </c>
      <c r="J151" s="55" t="s">
        <v>25</v>
      </c>
      <c r="K151" s="56">
        <v>185.34</v>
      </c>
      <c r="L151" s="55">
        <v>1650</v>
      </c>
      <c r="M151" s="55" t="s">
        <v>186</v>
      </c>
      <c r="N151" s="57">
        <f t="shared" si="6"/>
        <v>0.11232727272727273</v>
      </c>
      <c r="O151" s="57">
        <f>+VLOOKUP(J151,TC!$B$6:$C$17,2,0)*PRECIOS!N151</f>
        <v>482.06712594346277</v>
      </c>
      <c r="P151" s="55" t="str">
        <f t="shared" si="7"/>
        <v>Si</v>
      </c>
      <c r="Q151" s="57">
        <f>+IF(I151=1,O151,IF(I151=2,O151/(1+MRI!$C$18),(O151/(1+MRI!$D$18))/(1+MRI!$C$18)))</f>
        <v>439.96671133574529</v>
      </c>
      <c r="R151" s="57">
        <f t="shared" si="8"/>
        <v>439.96671133574529</v>
      </c>
    </row>
    <row r="152" spans="1:18" x14ac:dyDescent="0.3">
      <c r="A152" s="42">
        <v>151</v>
      </c>
      <c r="B152" s="42" t="s">
        <v>7</v>
      </c>
      <c r="C152" s="42" t="s">
        <v>218</v>
      </c>
      <c r="D152" s="42" t="s">
        <v>180</v>
      </c>
      <c r="E152" s="42" t="s">
        <v>34</v>
      </c>
      <c r="F152" s="42" t="s">
        <v>23</v>
      </c>
      <c r="G152" s="42" t="s">
        <v>24</v>
      </c>
      <c r="H152" s="42" t="s">
        <v>13</v>
      </c>
      <c r="I152" s="42">
        <v>2</v>
      </c>
      <c r="J152" s="42" t="s">
        <v>25</v>
      </c>
      <c r="K152" s="43">
        <v>368.64</v>
      </c>
      <c r="L152" s="42">
        <v>3960</v>
      </c>
      <c r="M152" s="42" t="s">
        <v>186</v>
      </c>
      <c r="N152" s="44">
        <f t="shared" si="6"/>
        <v>9.3090909090909085E-2</v>
      </c>
      <c r="O152" s="44">
        <f>+VLOOKUP(J152,TC!$B$6:$C$17,2,0)*PRECIOS!N152</f>
        <v>399.5117651069163</v>
      </c>
      <c r="P152" s="42" t="str">
        <f t="shared" si="7"/>
        <v>Si</v>
      </c>
      <c r="Q152" s="44">
        <f>+IF(I152=1,O152,IF(I152=2,O152/(1+MRI!$C$18),(O152/(1+MRI!$D$18))/(1+MRI!$C$18)))</f>
        <v>364.62116575574868</v>
      </c>
      <c r="R152" s="44">
        <f t="shared" si="8"/>
        <v>364.62116575574868</v>
      </c>
    </row>
    <row r="153" spans="1:18" x14ac:dyDescent="0.3">
      <c r="A153" s="55">
        <v>152</v>
      </c>
      <c r="B153" s="55" t="s">
        <v>7</v>
      </c>
      <c r="C153" s="55" t="s">
        <v>218</v>
      </c>
      <c r="D153" s="55" t="s">
        <v>180</v>
      </c>
      <c r="E153" s="55" t="s">
        <v>35</v>
      </c>
      <c r="F153" s="55" t="s">
        <v>23</v>
      </c>
      <c r="G153" s="55" t="s">
        <v>24</v>
      </c>
      <c r="H153" s="55" t="s">
        <v>13</v>
      </c>
      <c r="I153" s="55">
        <v>2</v>
      </c>
      <c r="J153" s="55" t="s">
        <v>25</v>
      </c>
      <c r="K153" s="56">
        <v>700.89</v>
      </c>
      <c r="L153" s="55">
        <v>7920</v>
      </c>
      <c r="M153" s="55" t="s">
        <v>186</v>
      </c>
      <c r="N153" s="57">
        <f t="shared" si="6"/>
        <v>8.8496212121212114E-2</v>
      </c>
      <c r="O153" s="57">
        <f>+VLOOKUP(J153,TC!$B$6:$C$17,2,0)*PRECIOS!N153</f>
        <v>379.79302442191107</v>
      </c>
      <c r="P153" s="55" t="str">
        <f t="shared" si="7"/>
        <v>Si</v>
      </c>
      <c r="Q153" s="57">
        <f>+IF(I153=1,O153,IF(I153=2,O153/(1+MRI!$C$18),(O153/(1+MRI!$D$18))/(1+MRI!$C$18)))</f>
        <v>346.62452374477368</v>
      </c>
      <c r="R153" s="57">
        <f t="shared" si="8"/>
        <v>346.62452374477368</v>
      </c>
    </row>
    <row r="154" spans="1:18" x14ac:dyDescent="0.3">
      <c r="A154" s="42">
        <v>153</v>
      </c>
      <c r="B154" s="42" t="s">
        <v>7</v>
      </c>
      <c r="C154" s="42" t="s">
        <v>218</v>
      </c>
      <c r="D154" s="42" t="s">
        <v>180</v>
      </c>
      <c r="E154" s="42" t="s">
        <v>128</v>
      </c>
      <c r="F154" s="42" t="s">
        <v>23</v>
      </c>
      <c r="G154" s="42" t="s">
        <v>24</v>
      </c>
      <c r="H154" s="42" t="s">
        <v>13</v>
      </c>
      <c r="I154" s="42">
        <v>2</v>
      </c>
      <c r="J154" s="42" t="s">
        <v>25</v>
      </c>
      <c r="K154" s="43">
        <v>90.6</v>
      </c>
      <c r="L154" s="42">
        <v>990</v>
      </c>
      <c r="M154" s="42" t="s">
        <v>186</v>
      </c>
      <c r="N154" s="44">
        <f t="shared" si="6"/>
        <v>9.1515151515151508E-2</v>
      </c>
      <c r="O154" s="44">
        <f>+VLOOKUP(J154,TC!$B$6:$C$17,2,0)*PRECIOS!N154</f>
        <v>392.74919616630444</v>
      </c>
      <c r="P154" s="42" t="str">
        <f t="shared" si="7"/>
        <v>Si</v>
      </c>
      <c r="Q154" s="44">
        <f>+IF(I154=1,O154,IF(I154=2,O154/(1+MRI!$C$18),(O154/(1+MRI!$D$18))/(1+MRI!$C$18)))</f>
        <v>358.44919289790397</v>
      </c>
      <c r="R154" s="44">
        <f t="shared" si="8"/>
        <v>358.44919289790397</v>
      </c>
    </row>
    <row r="155" spans="1:18" x14ac:dyDescent="0.3">
      <c r="A155" s="55">
        <v>154</v>
      </c>
      <c r="B155" s="55" t="s">
        <v>7</v>
      </c>
      <c r="C155" s="55" t="s">
        <v>218</v>
      </c>
      <c r="D155" s="55" t="s">
        <v>180</v>
      </c>
      <c r="E155" s="55" t="s">
        <v>31</v>
      </c>
      <c r="F155" s="55" t="s">
        <v>23</v>
      </c>
      <c r="G155" s="55" t="s">
        <v>24</v>
      </c>
      <c r="H155" s="55" t="s">
        <v>13</v>
      </c>
      <c r="I155" s="55">
        <v>2</v>
      </c>
      <c r="J155" s="55" t="s">
        <v>25</v>
      </c>
      <c r="K155" s="56">
        <v>153.24</v>
      </c>
      <c r="L155" s="55">
        <v>1000</v>
      </c>
      <c r="M155" s="55" t="s">
        <v>186</v>
      </c>
      <c r="N155" s="57">
        <f t="shared" si="6"/>
        <v>0.15324000000000002</v>
      </c>
      <c r="O155" s="57">
        <f>+VLOOKUP(J155,TC!$B$6:$C$17,2,0)*PRECIOS!N155</f>
        <v>657.64942552228763</v>
      </c>
      <c r="P155" s="55" t="str">
        <f t="shared" si="7"/>
        <v>Si</v>
      </c>
      <c r="Q155" s="57">
        <f>+IF(I155=1,O155,IF(I155=2,O155/(1+MRI!$C$18),(O155/(1+MRI!$D$18))/(1+MRI!$C$18)))</f>
        <v>600.2148650825394</v>
      </c>
      <c r="R155" s="57">
        <f t="shared" si="8"/>
        <v>600.2148650825394</v>
      </c>
    </row>
    <row r="156" spans="1:18" x14ac:dyDescent="0.3">
      <c r="A156" s="42">
        <v>155</v>
      </c>
      <c r="B156" s="42" t="s">
        <v>7</v>
      </c>
      <c r="C156" s="42" t="s">
        <v>218</v>
      </c>
      <c r="D156" s="42" t="s">
        <v>180</v>
      </c>
      <c r="E156" s="42" t="s">
        <v>124</v>
      </c>
      <c r="F156" s="42" t="s">
        <v>23</v>
      </c>
      <c r="G156" s="42" t="s">
        <v>24</v>
      </c>
      <c r="H156" s="42" t="s">
        <v>13</v>
      </c>
      <c r="I156" s="42">
        <v>2</v>
      </c>
      <c r="J156" s="42" t="s">
        <v>25</v>
      </c>
      <c r="K156" s="43">
        <v>612.91</v>
      </c>
      <c r="L156" s="42">
        <v>4000</v>
      </c>
      <c r="M156" s="42" t="s">
        <v>186</v>
      </c>
      <c r="N156" s="44">
        <f t="shared" si="6"/>
        <v>0.15322749999999999</v>
      </c>
      <c r="O156" s="44">
        <f>+VLOOKUP(J156,TC!$B$6:$C$17,2,0)*PRECIOS!N156</f>
        <v>657.59578014367207</v>
      </c>
      <c r="P156" s="42" t="str">
        <f t="shared" si="7"/>
        <v>Si</v>
      </c>
      <c r="Q156" s="44">
        <f>+IF(I156=1,O156,IF(I156=2,O156/(1+MRI!$C$18),(O156/(1+MRI!$D$18))/(1+MRI!$C$18)))</f>
        <v>600.16590472092662</v>
      </c>
      <c r="R156" s="44">
        <f t="shared" si="8"/>
        <v>600.16590472092662</v>
      </c>
    </row>
    <row r="157" spans="1:18" x14ac:dyDescent="0.3">
      <c r="A157" s="55">
        <v>156</v>
      </c>
      <c r="B157" s="55" t="s">
        <v>7</v>
      </c>
      <c r="C157" s="55" t="s">
        <v>218</v>
      </c>
      <c r="D157" s="55" t="s">
        <v>180</v>
      </c>
      <c r="E157" s="55" t="s">
        <v>125</v>
      </c>
      <c r="F157" s="55" t="s">
        <v>23</v>
      </c>
      <c r="G157" s="55" t="s">
        <v>24</v>
      </c>
      <c r="H157" s="55" t="s">
        <v>13</v>
      </c>
      <c r="I157" s="55">
        <v>2</v>
      </c>
      <c r="J157" s="55" t="s">
        <v>25</v>
      </c>
      <c r="K157" s="56">
        <v>153.24</v>
      </c>
      <c r="L157" s="55">
        <v>1000</v>
      </c>
      <c r="M157" s="55" t="s">
        <v>186</v>
      </c>
      <c r="N157" s="57">
        <f t="shared" si="6"/>
        <v>0.15324000000000002</v>
      </c>
      <c r="O157" s="57">
        <f>+VLOOKUP(J157,TC!$B$6:$C$17,2,0)*PRECIOS!N157</f>
        <v>657.64942552228763</v>
      </c>
      <c r="P157" s="55" t="str">
        <f t="shared" si="7"/>
        <v>Si</v>
      </c>
      <c r="Q157" s="57">
        <f>+IF(I157=1,O157,IF(I157=2,O157/(1+MRI!$C$18),(O157/(1+MRI!$D$18))/(1+MRI!$C$18)))</f>
        <v>600.2148650825394</v>
      </c>
      <c r="R157" s="57">
        <f t="shared" si="8"/>
        <v>600.2148650825394</v>
      </c>
    </row>
    <row r="158" spans="1:18" x14ac:dyDescent="0.3">
      <c r="A158" s="42">
        <v>157</v>
      </c>
      <c r="B158" s="42" t="s">
        <v>7</v>
      </c>
      <c r="C158" s="42" t="s">
        <v>218</v>
      </c>
      <c r="D158" s="42" t="s">
        <v>180</v>
      </c>
      <c r="E158" s="42" t="s">
        <v>126</v>
      </c>
      <c r="F158" s="42" t="s">
        <v>23</v>
      </c>
      <c r="G158" s="42" t="s">
        <v>24</v>
      </c>
      <c r="H158" s="42" t="s">
        <v>13</v>
      </c>
      <c r="I158" s="42">
        <v>2</v>
      </c>
      <c r="J158" s="42" t="s">
        <v>25</v>
      </c>
      <c r="K158" s="43">
        <v>123.4</v>
      </c>
      <c r="L158" s="42">
        <v>1000</v>
      </c>
      <c r="M158" s="42" t="s">
        <v>186</v>
      </c>
      <c r="N158" s="44">
        <f t="shared" si="6"/>
        <v>0.12340000000000001</v>
      </c>
      <c r="O158" s="44">
        <f>+VLOOKUP(J158,TC!$B$6:$C$17,2,0)*PRECIOS!N158</f>
        <v>529.58717769153156</v>
      </c>
      <c r="P158" s="42" t="str">
        <f t="shared" si="7"/>
        <v>Si</v>
      </c>
      <c r="Q158" s="44">
        <f>+IF(I158=1,O158,IF(I158=2,O158/(1+MRI!$C$18),(O158/(1+MRI!$D$18))/(1+MRI!$C$18)))</f>
        <v>483.33668984067714</v>
      </c>
      <c r="R158" s="44">
        <f t="shared" si="8"/>
        <v>483.33668984067714</v>
      </c>
    </row>
    <row r="159" spans="1:18" x14ac:dyDescent="0.3">
      <c r="A159" s="55">
        <v>158</v>
      </c>
      <c r="B159" s="55" t="s">
        <v>7</v>
      </c>
      <c r="C159" s="55" t="s">
        <v>218</v>
      </c>
      <c r="D159" s="55" t="s">
        <v>180</v>
      </c>
      <c r="E159" s="55" t="s">
        <v>26</v>
      </c>
      <c r="F159" s="55" t="s">
        <v>23</v>
      </c>
      <c r="G159" s="55" t="s">
        <v>24</v>
      </c>
      <c r="H159" s="55" t="s">
        <v>13</v>
      </c>
      <c r="I159" s="55">
        <v>2</v>
      </c>
      <c r="J159" s="55" t="s">
        <v>25</v>
      </c>
      <c r="K159" s="56">
        <v>246.8</v>
      </c>
      <c r="L159" s="55">
        <v>2000</v>
      </c>
      <c r="M159" s="55" t="s">
        <v>186</v>
      </c>
      <c r="N159" s="57">
        <f t="shared" si="6"/>
        <v>0.12340000000000001</v>
      </c>
      <c r="O159" s="57">
        <f>+VLOOKUP(J159,TC!$B$6:$C$17,2,0)*PRECIOS!N159</f>
        <v>529.58717769153156</v>
      </c>
      <c r="P159" s="55" t="str">
        <f t="shared" si="7"/>
        <v>Si</v>
      </c>
      <c r="Q159" s="57">
        <f>+IF(I159=1,O159,IF(I159=2,O159/(1+MRI!$C$18),(O159/(1+MRI!$D$18))/(1+MRI!$C$18)))</f>
        <v>483.33668984067714</v>
      </c>
      <c r="R159" s="57">
        <f t="shared" si="8"/>
        <v>483.33668984067714</v>
      </c>
    </row>
    <row r="160" spans="1:18" x14ac:dyDescent="0.3">
      <c r="A160" s="42">
        <v>159</v>
      </c>
      <c r="B160" s="42" t="s">
        <v>7</v>
      </c>
      <c r="C160" s="42" t="s">
        <v>218</v>
      </c>
      <c r="D160" s="42" t="s">
        <v>180</v>
      </c>
      <c r="E160" s="42" t="s">
        <v>127</v>
      </c>
      <c r="F160" s="42" t="s">
        <v>23</v>
      </c>
      <c r="G160" s="42" t="s">
        <v>24</v>
      </c>
      <c r="H160" s="42" t="s">
        <v>13</v>
      </c>
      <c r="I160" s="42">
        <v>2</v>
      </c>
      <c r="J160" s="42" t="s">
        <v>25</v>
      </c>
      <c r="K160" s="43">
        <v>493.61</v>
      </c>
      <c r="L160" s="42">
        <v>4000</v>
      </c>
      <c r="M160" s="42" t="s">
        <v>186</v>
      </c>
      <c r="N160" s="44">
        <f t="shared" si="6"/>
        <v>0.1234025</v>
      </c>
      <c r="O160" s="44">
        <f>+VLOOKUP(J160,TC!$B$6:$C$17,2,0)*PRECIOS!N160</f>
        <v>529.59790676725459</v>
      </c>
      <c r="P160" s="42" t="str">
        <f t="shared" si="7"/>
        <v>Si</v>
      </c>
      <c r="Q160" s="44">
        <f>+IF(I160=1,O160,IF(I160=2,O160/(1+MRI!$C$18),(O160/(1+MRI!$D$18))/(1+MRI!$C$18)))</f>
        <v>483.34648191299965</v>
      </c>
      <c r="R160" s="44">
        <f t="shared" si="8"/>
        <v>483.34648191299965</v>
      </c>
    </row>
    <row r="161" spans="1:18" x14ac:dyDescent="0.3">
      <c r="A161" s="55">
        <v>160</v>
      </c>
      <c r="B161" s="55" t="s">
        <v>7</v>
      </c>
      <c r="C161" s="55" t="s">
        <v>219</v>
      </c>
      <c r="D161" s="55" t="s">
        <v>180</v>
      </c>
      <c r="E161" s="55" t="s">
        <v>144</v>
      </c>
      <c r="F161" s="55" t="s">
        <v>141</v>
      </c>
      <c r="G161" s="55" t="s">
        <v>176</v>
      </c>
      <c r="H161" s="55" t="s">
        <v>20</v>
      </c>
      <c r="I161" s="55">
        <v>3</v>
      </c>
      <c r="J161" s="55" t="s">
        <v>40</v>
      </c>
      <c r="K161" s="56">
        <v>207.76</v>
      </c>
      <c r="L161" s="55">
        <v>2000</v>
      </c>
      <c r="M161" s="55" t="s">
        <v>186</v>
      </c>
      <c r="N161" s="57">
        <f t="shared" si="6"/>
        <v>0.10388</v>
      </c>
      <c r="O161" s="57">
        <f>+VLOOKUP(J161,TC!$B$6:$C$17,2,0)*PRECIOS!N161</f>
        <v>475.39653667482418</v>
      </c>
      <c r="P161" s="55" t="str">
        <f t="shared" si="7"/>
        <v>No</v>
      </c>
      <c r="Q161" s="57">
        <f>+IF(I161=1,O161,IF(I161=2,O161/(1+MRI!$C$18),(O161/(1+MRI!$D$18))/(1+MRI!$C$18)))</f>
        <v>363.42621964213151</v>
      </c>
      <c r="R161" s="57" t="str">
        <f t="shared" si="8"/>
        <v/>
      </c>
    </row>
    <row r="162" spans="1:18" x14ac:dyDescent="0.3">
      <c r="A162" s="42">
        <v>161</v>
      </c>
      <c r="B162" s="42" t="s">
        <v>7</v>
      </c>
      <c r="C162" s="42" t="s">
        <v>219</v>
      </c>
      <c r="D162" s="42" t="s">
        <v>180</v>
      </c>
      <c r="E162" s="42" t="s">
        <v>144</v>
      </c>
      <c r="F162" s="42" t="s">
        <v>141</v>
      </c>
      <c r="G162" s="42" t="s">
        <v>176</v>
      </c>
      <c r="H162" s="42" t="s">
        <v>11</v>
      </c>
      <c r="I162" s="42">
        <v>1</v>
      </c>
      <c r="J162" s="42" t="s">
        <v>40</v>
      </c>
      <c r="K162" s="43">
        <v>163.9</v>
      </c>
      <c r="L162" s="42">
        <v>2000</v>
      </c>
      <c r="M162" s="42" t="s">
        <v>186</v>
      </c>
      <c r="N162" s="44">
        <f t="shared" si="6"/>
        <v>8.1950000000000009E-2</v>
      </c>
      <c r="O162" s="44">
        <f>+VLOOKUP(J162,TC!$B$6:$C$17,2,0)*PRECIOS!N162</f>
        <v>375.03606257702972</v>
      </c>
      <c r="P162" s="42" t="str">
        <f t="shared" si="7"/>
        <v>Si</v>
      </c>
      <c r="Q162" s="44">
        <f>+IF(I162=1,O162,IF(I162=2,O162/(1+MRI!$C$18),(O162/(1+MRI!$D$18))/(1+MRI!$C$18)))</f>
        <v>375.03606257702972</v>
      </c>
      <c r="R162" s="44">
        <f t="shared" si="8"/>
        <v>375.03606257702972</v>
      </c>
    </row>
    <row r="163" spans="1:18" x14ac:dyDescent="0.3">
      <c r="A163" s="55">
        <v>162</v>
      </c>
      <c r="B163" s="55" t="s">
        <v>7</v>
      </c>
      <c r="C163" s="55" t="s">
        <v>219</v>
      </c>
      <c r="D163" s="55" t="s">
        <v>180</v>
      </c>
      <c r="E163" s="55" t="s">
        <v>144</v>
      </c>
      <c r="F163" s="55" t="s">
        <v>141</v>
      </c>
      <c r="G163" s="55" t="s">
        <v>176</v>
      </c>
      <c r="H163" s="55" t="s">
        <v>22</v>
      </c>
      <c r="I163" s="55">
        <v>2</v>
      </c>
      <c r="J163" s="55" t="s">
        <v>40</v>
      </c>
      <c r="K163" s="56">
        <v>171.93</v>
      </c>
      <c r="L163" s="55">
        <v>2000</v>
      </c>
      <c r="M163" s="55" t="s">
        <v>186</v>
      </c>
      <c r="N163" s="57">
        <f t="shared" si="6"/>
        <v>8.5965E-2</v>
      </c>
      <c r="O163" s="57">
        <f>+VLOOKUP(J163,TC!$B$6:$C$17,2,0)*PRECIOS!N163</f>
        <v>393.41031262274993</v>
      </c>
      <c r="P163" s="55" t="str">
        <f t="shared" si="7"/>
        <v>No</v>
      </c>
      <c r="Q163" s="57">
        <f>+IF(I163=1,O163,IF(I163=2,O163/(1+MRI!$C$18),(O163/(1+MRI!$D$18))/(1+MRI!$C$18)))</f>
        <v>359.05257200736514</v>
      </c>
      <c r="R163" s="57" t="str">
        <f t="shared" si="8"/>
        <v/>
      </c>
    </row>
    <row r="164" spans="1:18" x14ac:dyDescent="0.3">
      <c r="A164" s="42">
        <v>163</v>
      </c>
      <c r="B164" s="42" t="s">
        <v>7</v>
      </c>
      <c r="C164" s="42" t="s">
        <v>219</v>
      </c>
      <c r="D164" s="42" t="s">
        <v>180</v>
      </c>
      <c r="E164" s="42" t="s">
        <v>127</v>
      </c>
      <c r="F164" s="42" t="s">
        <v>141</v>
      </c>
      <c r="G164" s="42" t="s">
        <v>176</v>
      </c>
      <c r="H164" s="42" t="s">
        <v>20</v>
      </c>
      <c r="I164" s="42">
        <v>3</v>
      </c>
      <c r="J164" s="42" t="s">
        <v>40</v>
      </c>
      <c r="K164" s="43">
        <v>387.94</v>
      </c>
      <c r="L164" s="42">
        <v>4000</v>
      </c>
      <c r="M164" s="42" t="s">
        <v>186</v>
      </c>
      <c r="N164" s="44">
        <f t="shared" si="6"/>
        <v>9.6985000000000002E-2</v>
      </c>
      <c r="O164" s="44">
        <f>+VLOOKUP(J164,TC!$B$6:$C$17,2,0)*PRECIOS!N164</f>
        <v>443.842251727068</v>
      </c>
      <c r="P164" s="42" t="str">
        <f t="shared" si="7"/>
        <v>No</v>
      </c>
      <c r="Q164" s="44">
        <f>+IF(I164=1,O164,IF(I164=2,O164/(1+MRI!$C$18),(O164/(1+MRI!$D$18))/(1+MRI!$C$18)))</f>
        <v>339.30392676157231</v>
      </c>
      <c r="R164" s="44" t="str">
        <f t="shared" si="8"/>
        <v/>
      </c>
    </row>
    <row r="165" spans="1:18" x14ac:dyDescent="0.3">
      <c r="A165" s="55">
        <v>164</v>
      </c>
      <c r="B165" s="55" t="s">
        <v>7</v>
      </c>
      <c r="C165" s="55" t="s">
        <v>219</v>
      </c>
      <c r="D165" s="55" t="s">
        <v>180</v>
      </c>
      <c r="E165" s="55" t="s">
        <v>127</v>
      </c>
      <c r="F165" s="55" t="s">
        <v>141</v>
      </c>
      <c r="G165" s="55" t="s">
        <v>176</v>
      </c>
      <c r="H165" s="55" t="s">
        <v>11</v>
      </c>
      <c r="I165" s="55">
        <v>1</v>
      </c>
      <c r="J165" s="55" t="s">
        <v>40</v>
      </c>
      <c r="K165" s="56">
        <v>327.79</v>
      </c>
      <c r="L165" s="55">
        <v>4000</v>
      </c>
      <c r="M165" s="55" t="s">
        <v>186</v>
      </c>
      <c r="N165" s="57">
        <f t="shared" si="6"/>
        <v>8.1947500000000006E-2</v>
      </c>
      <c r="O165" s="57">
        <f>+VLOOKUP(J165,TC!$B$6:$C$17,2,0)*PRECIOS!N165</f>
        <v>375.02462157451055</v>
      </c>
      <c r="P165" s="55" t="str">
        <f t="shared" si="7"/>
        <v>Si</v>
      </c>
      <c r="Q165" s="57">
        <f>+IF(I165=1,O165,IF(I165=2,O165/(1+MRI!$C$18),(O165/(1+MRI!$D$18))/(1+MRI!$C$18)))</f>
        <v>375.02462157451055</v>
      </c>
      <c r="R165" s="57">
        <f t="shared" si="8"/>
        <v>375.02462157451055</v>
      </c>
    </row>
    <row r="166" spans="1:18" x14ac:dyDescent="0.3">
      <c r="A166" s="42">
        <v>165</v>
      </c>
      <c r="B166" s="42" t="s">
        <v>7</v>
      </c>
      <c r="C166" s="42" t="s">
        <v>219</v>
      </c>
      <c r="D166" s="42" t="s">
        <v>180</v>
      </c>
      <c r="E166" s="42" t="s">
        <v>127</v>
      </c>
      <c r="F166" s="42" t="s">
        <v>141</v>
      </c>
      <c r="G166" s="42" t="s">
        <v>176</v>
      </c>
      <c r="H166" s="42" t="s">
        <v>22</v>
      </c>
      <c r="I166" s="42">
        <v>2</v>
      </c>
      <c r="J166" s="42" t="s">
        <v>40</v>
      </c>
      <c r="K166" s="43">
        <v>332.71</v>
      </c>
      <c r="L166" s="42">
        <v>4000</v>
      </c>
      <c r="M166" s="42" t="s">
        <v>186</v>
      </c>
      <c r="N166" s="44">
        <f t="shared" si="6"/>
        <v>8.3177500000000001E-2</v>
      </c>
      <c r="O166" s="44">
        <f>+VLOOKUP(J166,TC!$B$6:$C$17,2,0)*PRECIOS!N166</f>
        <v>380.6535948139217</v>
      </c>
      <c r="P166" s="42" t="str">
        <f t="shared" si="7"/>
        <v>No</v>
      </c>
      <c r="Q166" s="44">
        <f>+IF(I166=1,O166,IF(I166=2,O166/(1+MRI!$C$18),(O166/(1+MRI!$D$18))/(1+MRI!$C$18)))</f>
        <v>347.40993786008971</v>
      </c>
      <c r="R166" s="44" t="str">
        <f t="shared" si="8"/>
        <v/>
      </c>
    </row>
    <row r="167" spans="1:18" x14ac:dyDescent="0.3">
      <c r="A167" s="55">
        <v>166</v>
      </c>
      <c r="B167" s="55" t="s">
        <v>7</v>
      </c>
      <c r="C167" s="55" t="s">
        <v>221</v>
      </c>
      <c r="D167" s="55" t="s">
        <v>180</v>
      </c>
      <c r="E167" s="55" t="s">
        <v>32</v>
      </c>
      <c r="F167" s="55" t="s">
        <v>106</v>
      </c>
      <c r="G167" s="55" t="s">
        <v>207</v>
      </c>
      <c r="H167" s="55" t="s">
        <v>20</v>
      </c>
      <c r="I167" s="55">
        <v>3</v>
      </c>
      <c r="J167" s="55" t="s">
        <v>40</v>
      </c>
      <c r="K167" s="56">
        <v>149.77000000000001</v>
      </c>
      <c r="L167" s="55">
        <v>1650</v>
      </c>
      <c r="M167" s="55" t="s">
        <v>186</v>
      </c>
      <c r="N167" s="57">
        <f t="shared" si="6"/>
        <v>9.0769696969696972E-2</v>
      </c>
      <c r="O167" s="57">
        <f>+VLOOKUP(J167,TC!$B$6:$C$17,2,0)*PRECIOS!N167</f>
        <v>415.3985326763306</v>
      </c>
      <c r="P167" s="55" t="str">
        <f t="shared" si="7"/>
        <v>No</v>
      </c>
      <c r="Q167" s="57">
        <f>+IF(I167=1,O167,IF(I167=2,O167/(1+MRI!$C$18),(O167/(1+MRI!$D$18))/(1+MRI!$C$18)))</f>
        <v>317.55956707507517</v>
      </c>
      <c r="R167" s="57" t="str">
        <f t="shared" si="8"/>
        <v/>
      </c>
    </row>
    <row r="168" spans="1:18" x14ac:dyDescent="0.3">
      <c r="A168" s="42">
        <v>167</v>
      </c>
      <c r="B168" s="42" t="s">
        <v>7</v>
      </c>
      <c r="C168" s="42" t="s">
        <v>221</v>
      </c>
      <c r="D168" s="42" t="s">
        <v>180</v>
      </c>
      <c r="E168" s="42" t="s">
        <v>32</v>
      </c>
      <c r="F168" s="42" t="s">
        <v>106</v>
      </c>
      <c r="G168" s="42" t="s">
        <v>207</v>
      </c>
      <c r="H168" s="42" t="s">
        <v>11</v>
      </c>
      <c r="I168" s="42">
        <v>1</v>
      </c>
      <c r="J168" s="42" t="s">
        <v>40</v>
      </c>
      <c r="K168" s="43">
        <v>90.75</v>
      </c>
      <c r="L168" s="42">
        <v>1650</v>
      </c>
      <c r="M168" s="42" t="s">
        <v>186</v>
      </c>
      <c r="N168" s="44">
        <f t="shared" si="6"/>
        <v>5.5E-2</v>
      </c>
      <c r="O168" s="44">
        <f>+VLOOKUP(J168,TC!$B$6:$C$17,2,0)*PRECIOS!N168</f>
        <v>251.70205542082527</v>
      </c>
      <c r="P168" s="42" t="str">
        <f t="shared" si="7"/>
        <v>Si</v>
      </c>
      <c r="Q168" s="44">
        <f>+IF(I168=1,O168,IF(I168=2,O168/(1+MRI!$C$18),(O168/(1+MRI!$D$18))/(1+MRI!$C$18)))</f>
        <v>251.70205542082527</v>
      </c>
      <c r="R168" s="44">
        <f t="shared" si="8"/>
        <v>251.70205542082527</v>
      </c>
    </row>
    <row r="169" spans="1:18" x14ac:dyDescent="0.3">
      <c r="A169" s="55">
        <v>168</v>
      </c>
      <c r="B169" s="55" t="s">
        <v>7</v>
      </c>
      <c r="C169" s="55" t="s">
        <v>221</v>
      </c>
      <c r="D169" s="55" t="s">
        <v>180</v>
      </c>
      <c r="E169" s="55" t="s">
        <v>33</v>
      </c>
      <c r="F169" s="55" t="s">
        <v>106</v>
      </c>
      <c r="G169" s="55" t="s">
        <v>207</v>
      </c>
      <c r="H169" s="55" t="s">
        <v>20</v>
      </c>
      <c r="I169" s="55">
        <v>3</v>
      </c>
      <c r="J169" s="55" t="s">
        <v>40</v>
      </c>
      <c r="K169" s="56">
        <v>181.54</v>
      </c>
      <c r="L169" s="55">
        <v>1980</v>
      </c>
      <c r="M169" s="55" t="s">
        <v>186</v>
      </c>
      <c r="N169" s="57">
        <f t="shared" si="6"/>
        <v>9.1686868686868678E-2</v>
      </c>
      <c r="O169" s="57">
        <f>+VLOOKUP(J169,TC!$B$6:$C$17,2,0)*PRECIOS!N169</f>
        <v>419.59587824698451</v>
      </c>
      <c r="P169" s="55" t="str">
        <f t="shared" si="7"/>
        <v>No</v>
      </c>
      <c r="Q169" s="57">
        <f>+IF(I169=1,O169,IF(I169=2,O169/(1+MRI!$C$18),(O169/(1+MRI!$D$18))/(1+MRI!$C$18)))</f>
        <v>320.76831033589917</v>
      </c>
      <c r="R169" s="57" t="str">
        <f t="shared" si="8"/>
        <v/>
      </c>
    </row>
    <row r="170" spans="1:18" x14ac:dyDescent="0.3">
      <c r="A170" s="42">
        <v>169</v>
      </c>
      <c r="B170" s="42" t="s">
        <v>7</v>
      </c>
      <c r="C170" s="42" t="s">
        <v>221</v>
      </c>
      <c r="D170" s="42" t="s">
        <v>180</v>
      </c>
      <c r="E170" s="42" t="s">
        <v>33</v>
      </c>
      <c r="F170" s="42" t="s">
        <v>106</v>
      </c>
      <c r="G170" s="42" t="s">
        <v>207</v>
      </c>
      <c r="H170" s="42" t="s">
        <v>11</v>
      </c>
      <c r="I170" s="42">
        <v>1</v>
      </c>
      <c r="J170" s="42" t="s">
        <v>40</v>
      </c>
      <c r="K170" s="43">
        <v>110</v>
      </c>
      <c r="L170" s="42">
        <v>1980</v>
      </c>
      <c r="M170" s="42" t="s">
        <v>186</v>
      </c>
      <c r="N170" s="44">
        <f t="shared" si="6"/>
        <v>5.5555555555555552E-2</v>
      </c>
      <c r="O170" s="44">
        <f>+VLOOKUP(J170,TC!$B$6:$C$17,2,0)*PRECIOS!N170</f>
        <v>254.24450042507601</v>
      </c>
      <c r="P170" s="42" t="str">
        <f t="shared" si="7"/>
        <v>Si</v>
      </c>
      <c r="Q170" s="44">
        <f>+IF(I170=1,O170,IF(I170=2,O170/(1+MRI!$C$18),(O170/(1+MRI!$D$18))/(1+MRI!$C$18)))</f>
        <v>254.24450042507601</v>
      </c>
      <c r="R170" s="44">
        <f t="shared" si="8"/>
        <v>254.24450042507601</v>
      </c>
    </row>
    <row r="171" spans="1:18" x14ac:dyDescent="0.3">
      <c r="A171" s="55">
        <v>170</v>
      </c>
      <c r="B171" s="55" t="s">
        <v>7</v>
      </c>
      <c r="C171" s="55" t="s">
        <v>221</v>
      </c>
      <c r="D171" s="55" t="s">
        <v>180</v>
      </c>
      <c r="E171" s="55" t="s">
        <v>143</v>
      </c>
      <c r="F171" s="55" t="s">
        <v>106</v>
      </c>
      <c r="G171" s="55" t="s">
        <v>207</v>
      </c>
      <c r="H171" s="55" t="s">
        <v>20</v>
      </c>
      <c r="I171" s="55">
        <v>3</v>
      </c>
      <c r="J171" s="55" t="s">
        <v>40</v>
      </c>
      <c r="K171" s="56">
        <v>299.55</v>
      </c>
      <c r="L171" s="55">
        <v>3300</v>
      </c>
      <c r="M171" s="55" t="s">
        <v>186</v>
      </c>
      <c r="N171" s="57">
        <f t="shared" si="6"/>
        <v>9.0772727272727283E-2</v>
      </c>
      <c r="O171" s="57">
        <f>+VLOOKUP(J171,TC!$B$6:$C$17,2,0)*PRECIOS!N171</f>
        <v>415.41240055817201</v>
      </c>
      <c r="P171" s="55" t="str">
        <f t="shared" si="7"/>
        <v>No</v>
      </c>
      <c r="Q171" s="57">
        <f>+IF(I171=1,O171,IF(I171=2,O171/(1+MRI!$C$18),(O171/(1+MRI!$D$18))/(1+MRI!$C$18)))</f>
        <v>317.57016864972553</v>
      </c>
      <c r="R171" s="57" t="str">
        <f t="shared" si="8"/>
        <v/>
      </c>
    </row>
    <row r="172" spans="1:18" x14ac:dyDescent="0.3">
      <c r="A172" s="42">
        <v>171</v>
      </c>
      <c r="B172" s="42" t="s">
        <v>7</v>
      </c>
      <c r="C172" s="42" t="s">
        <v>221</v>
      </c>
      <c r="D172" s="42" t="s">
        <v>180</v>
      </c>
      <c r="E172" s="42" t="s">
        <v>143</v>
      </c>
      <c r="F172" s="42" t="s">
        <v>106</v>
      </c>
      <c r="G172" s="42" t="s">
        <v>207</v>
      </c>
      <c r="H172" s="42" t="s">
        <v>11</v>
      </c>
      <c r="I172" s="42">
        <v>1</v>
      </c>
      <c r="J172" s="42" t="s">
        <v>40</v>
      </c>
      <c r="K172" s="43">
        <v>181.5</v>
      </c>
      <c r="L172" s="42">
        <v>3300</v>
      </c>
      <c r="M172" s="42" t="s">
        <v>186</v>
      </c>
      <c r="N172" s="44">
        <f t="shared" si="6"/>
        <v>5.5E-2</v>
      </c>
      <c r="O172" s="44">
        <f>+VLOOKUP(J172,TC!$B$6:$C$17,2,0)*PRECIOS!N172</f>
        <v>251.70205542082527</v>
      </c>
      <c r="P172" s="42" t="str">
        <f t="shared" si="7"/>
        <v>Si</v>
      </c>
      <c r="Q172" s="44">
        <f>+IF(I172=1,O172,IF(I172=2,O172/(1+MRI!$C$18),(O172/(1+MRI!$D$18))/(1+MRI!$C$18)))</f>
        <v>251.70205542082527</v>
      </c>
      <c r="R172" s="44">
        <f t="shared" si="8"/>
        <v>251.70205542082527</v>
      </c>
    </row>
    <row r="173" spans="1:18" x14ac:dyDescent="0.3">
      <c r="A173" s="55">
        <v>172</v>
      </c>
      <c r="B173" s="55" t="s">
        <v>7</v>
      </c>
      <c r="C173" s="55" t="s">
        <v>221</v>
      </c>
      <c r="D173" s="55" t="s">
        <v>180</v>
      </c>
      <c r="E173" s="55" t="s">
        <v>34</v>
      </c>
      <c r="F173" s="55" t="s">
        <v>106</v>
      </c>
      <c r="G173" s="55" t="s">
        <v>207</v>
      </c>
      <c r="H173" s="55" t="s">
        <v>20</v>
      </c>
      <c r="I173" s="55">
        <v>3</v>
      </c>
      <c r="J173" s="55" t="s">
        <v>40</v>
      </c>
      <c r="K173" s="56">
        <v>363.09</v>
      </c>
      <c r="L173" s="55">
        <v>3960</v>
      </c>
      <c r="M173" s="55" t="s">
        <v>186</v>
      </c>
      <c r="N173" s="57">
        <f t="shared" si="6"/>
        <v>9.1689393939393932E-2</v>
      </c>
      <c r="O173" s="57">
        <f>+VLOOKUP(J173,TC!$B$6:$C$17,2,0)*PRECIOS!N173</f>
        <v>419.60743481518568</v>
      </c>
      <c r="P173" s="55" t="str">
        <f t="shared" si="7"/>
        <v>No</v>
      </c>
      <c r="Q173" s="57">
        <f>+IF(I173=1,O173,IF(I173=2,O173/(1+MRI!$C$18),(O173/(1+MRI!$D$18))/(1+MRI!$C$18)))</f>
        <v>320.77714498144115</v>
      </c>
      <c r="R173" s="57" t="str">
        <f t="shared" si="8"/>
        <v/>
      </c>
    </row>
    <row r="174" spans="1:18" x14ac:dyDescent="0.3">
      <c r="A174" s="42">
        <v>173</v>
      </c>
      <c r="B174" s="42" t="s">
        <v>7</v>
      </c>
      <c r="C174" s="42" t="s">
        <v>221</v>
      </c>
      <c r="D174" s="42" t="s">
        <v>180</v>
      </c>
      <c r="E174" s="42" t="s">
        <v>34</v>
      </c>
      <c r="F174" s="42" t="s">
        <v>106</v>
      </c>
      <c r="G174" s="42" t="s">
        <v>207</v>
      </c>
      <c r="H174" s="42" t="s">
        <v>11</v>
      </c>
      <c r="I174" s="42">
        <v>1</v>
      </c>
      <c r="J174" s="42" t="s">
        <v>40</v>
      </c>
      <c r="K174" s="43">
        <v>220</v>
      </c>
      <c r="L174" s="42">
        <v>3960</v>
      </c>
      <c r="M174" s="42" t="s">
        <v>186</v>
      </c>
      <c r="N174" s="44">
        <f t="shared" si="6"/>
        <v>5.5555555555555552E-2</v>
      </c>
      <c r="O174" s="44">
        <f>+VLOOKUP(J174,TC!$B$6:$C$17,2,0)*PRECIOS!N174</f>
        <v>254.24450042507601</v>
      </c>
      <c r="P174" s="42" t="str">
        <f t="shared" si="7"/>
        <v>Si</v>
      </c>
      <c r="Q174" s="44">
        <f>+IF(I174=1,O174,IF(I174=2,O174/(1+MRI!$C$18),(O174/(1+MRI!$D$18))/(1+MRI!$C$18)))</f>
        <v>254.24450042507601</v>
      </c>
      <c r="R174" s="44">
        <f t="shared" si="8"/>
        <v>254.24450042507601</v>
      </c>
    </row>
    <row r="175" spans="1:18" x14ac:dyDescent="0.3">
      <c r="A175" s="55">
        <v>174</v>
      </c>
      <c r="B175" s="55" t="s">
        <v>7</v>
      </c>
      <c r="C175" s="55" t="s">
        <v>221</v>
      </c>
      <c r="D175" s="55" t="s">
        <v>180</v>
      </c>
      <c r="E175" s="55" t="s">
        <v>35</v>
      </c>
      <c r="F175" s="55" t="s">
        <v>106</v>
      </c>
      <c r="G175" s="55" t="s">
        <v>207</v>
      </c>
      <c r="H175" s="55" t="s">
        <v>20</v>
      </c>
      <c r="I175" s="55">
        <v>3</v>
      </c>
      <c r="J175" s="55" t="s">
        <v>40</v>
      </c>
      <c r="K175" s="56">
        <v>726.18</v>
      </c>
      <c r="L175" s="55">
        <v>7920</v>
      </c>
      <c r="M175" s="55" t="s">
        <v>186</v>
      </c>
      <c r="N175" s="57">
        <f t="shared" si="6"/>
        <v>9.1689393939393932E-2</v>
      </c>
      <c r="O175" s="57">
        <f>+VLOOKUP(J175,TC!$B$6:$C$17,2,0)*PRECIOS!N175</f>
        <v>419.60743481518568</v>
      </c>
      <c r="P175" s="55" t="str">
        <f t="shared" si="7"/>
        <v>No</v>
      </c>
      <c r="Q175" s="57">
        <f>+IF(I175=1,O175,IF(I175=2,O175/(1+MRI!$C$18),(O175/(1+MRI!$D$18))/(1+MRI!$C$18)))</f>
        <v>320.77714498144115</v>
      </c>
      <c r="R175" s="57" t="str">
        <f t="shared" si="8"/>
        <v/>
      </c>
    </row>
    <row r="176" spans="1:18" x14ac:dyDescent="0.3">
      <c r="A176" s="42">
        <v>175</v>
      </c>
      <c r="B176" s="42" t="s">
        <v>7</v>
      </c>
      <c r="C176" s="42" t="s">
        <v>221</v>
      </c>
      <c r="D176" s="42" t="s">
        <v>180</v>
      </c>
      <c r="E176" s="42" t="s">
        <v>35</v>
      </c>
      <c r="F176" s="42" t="s">
        <v>106</v>
      </c>
      <c r="G176" s="42" t="s">
        <v>207</v>
      </c>
      <c r="H176" s="42" t="s">
        <v>11</v>
      </c>
      <c r="I176" s="42">
        <v>1</v>
      </c>
      <c r="J176" s="42" t="s">
        <v>40</v>
      </c>
      <c r="K176" s="43">
        <v>440</v>
      </c>
      <c r="L176" s="42">
        <v>7920</v>
      </c>
      <c r="M176" s="42" t="s">
        <v>186</v>
      </c>
      <c r="N176" s="44">
        <f t="shared" si="6"/>
        <v>5.5555555555555552E-2</v>
      </c>
      <c r="O176" s="44">
        <f>+VLOOKUP(J176,TC!$B$6:$C$17,2,0)*PRECIOS!N176</f>
        <v>254.24450042507601</v>
      </c>
      <c r="P176" s="42" t="str">
        <f t="shared" si="7"/>
        <v>Si</v>
      </c>
      <c r="Q176" s="44">
        <f>+IF(I176=1,O176,IF(I176=2,O176/(1+MRI!$C$18),(O176/(1+MRI!$D$18))/(1+MRI!$C$18)))</f>
        <v>254.24450042507601</v>
      </c>
      <c r="R176" s="44">
        <f t="shared" si="8"/>
        <v>254.24450042507601</v>
      </c>
    </row>
    <row r="177" spans="1:18" x14ac:dyDescent="0.3">
      <c r="A177" s="55">
        <v>176</v>
      </c>
      <c r="B177" s="55" t="s">
        <v>7</v>
      </c>
      <c r="C177" s="55" t="s">
        <v>221</v>
      </c>
      <c r="D177" s="55" t="s">
        <v>180</v>
      </c>
      <c r="E177" s="55" t="s">
        <v>128</v>
      </c>
      <c r="F177" s="55" t="s">
        <v>106</v>
      </c>
      <c r="G177" s="55" t="s">
        <v>207</v>
      </c>
      <c r="H177" s="55" t="s">
        <v>20</v>
      </c>
      <c r="I177" s="55">
        <v>3</v>
      </c>
      <c r="J177" s="55" t="s">
        <v>40</v>
      </c>
      <c r="K177" s="56">
        <v>90.77</v>
      </c>
      <c r="L177" s="55">
        <v>990</v>
      </c>
      <c r="M177" s="55" t="s">
        <v>186</v>
      </c>
      <c r="N177" s="57">
        <f t="shared" si="6"/>
        <v>9.1686868686868678E-2</v>
      </c>
      <c r="O177" s="57">
        <f>+VLOOKUP(J177,TC!$B$6:$C$17,2,0)*PRECIOS!N177</f>
        <v>419.59587824698451</v>
      </c>
      <c r="P177" s="55" t="str">
        <f t="shared" si="7"/>
        <v>No</v>
      </c>
      <c r="Q177" s="57">
        <f>+IF(I177=1,O177,IF(I177=2,O177/(1+MRI!$C$18),(O177/(1+MRI!$D$18))/(1+MRI!$C$18)))</f>
        <v>320.76831033589917</v>
      </c>
      <c r="R177" s="57" t="str">
        <f t="shared" si="8"/>
        <v/>
      </c>
    </row>
    <row r="178" spans="1:18" x14ac:dyDescent="0.3">
      <c r="A178" s="42">
        <v>177</v>
      </c>
      <c r="B178" s="42" t="s">
        <v>7</v>
      </c>
      <c r="C178" s="42" t="s">
        <v>221</v>
      </c>
      <c r="D178" s="42" t="s">
        <v>180</v>
      </c>
      <c r="E178" s="42" t="s">
        <v>128</v>
      </c>
      <c r="F178" s="42" t="s">
        <v>106</v>
      </c>
      <c r="G178" s="42" t="s">
        <v>207</v>
      </c>
      <c r="H178" s="42" t="s">
        <v>11</v>
      </c>
      <c r="I178" s="42">
        <v>1</v>
      </c>
      <c r="J178" s="42" t="s">
        <v>40</v>
      </c>
      <c r="K178" s="43">
        <v>55</v>
      </c>
      <c r="L178" s="42">
        <v>990</v>
      </c>
      <c r="M178" s="42" t="s">
        <v>186</v>
      </c>
      <c r="N178" s="44">
        <f t="shared" si="6"/>
        <v>5.5555555555555552E-2</v>
      </c>
      <c r="O178" s="44">
        <f>+VLOOKUP(J178,TC!$B$6:$C$17,2,0)*PRECIOS!N178</f>
        <v>254.24450042507601</v>
      </c>
      <c r="P178" s="42" t="str">
        <f t="shared" si="7"/>
        <v>Si</v>
      </c>
      <c r="Q178" s="44">
        <f>+IF(I178=1,O178,IF(I178=2,O178/(1+MRI!$C$18),(O178/(1+MRI!$D$18))/(1+MRI!$C$18)))</f>
        <v>254.24450042507601</v>
      </c>
      <c r="R178" s="44">
        <f t="shared" si="8"/>
        <v>254.24450042507601</v>
      </c>
    </row>
    <row r="179" spans="1:18" x14ac:dyDescent="0.3">
      <c r="A179" s="55">
        <v>178</v>
      </c>
      <c r="B179" s="55" t="s">
        <v>7</v>
      </c>
      <c r="C179" s="55" t="s">
        <v>221</v>
      </c>
      <c r="D179" s="55" t="s">
        <v>180</v>
      </c>
      <c r="E179" s="55" t="s">
        <v>31</v>
      </c>
      <c r="F179" s="55" t="s">
        <v>106</v>
      </c>
      <c r="G179" s="55" t="s">
        <v>207</v>
      </c>
      <c r="H179" s="55" t="s">
        <v>20</v>
      </c>
      <c r="I179" s="55">
        <v>3</v>
      </c>
      <c r="J179" s="55" t="s">
        <v>40</v>
      </c>
      <c r="K179" s="56">
        <v>83.18</v>
      </c>
      <c r="L179" s="55">
        <v>1000</v>
      </c>
      <c r="M179" s="55" t="s">
        <v>186</v>
      </c>
      <c r="N179" s="57">
        <f t="shared" si="6"/>
        <v>8.3180000000000004E-2</v>
      </c>
      <c r="O179" s="57">
        <f>+VLOOKUP(J179,TC!$B$6:$C$17,2,0)*PRECIOS!N179</f>
        <v>380.66503581644088</v>
      </c>
      <c r="P179" s="55" t="str">
        <f t="shared" si="7"/>
        <v>No</v>
      </c>
      <c r="Q179" s="57">
        <f>+IF(I179=1,O179,IF(I179=2,O179/(1+MRI!$C$18),(O179/(1+MRI!$D$18))/(1+MRI!$C$18)))</f>
        <v>291.00686320593479</v>
      </c>
      <c r="R179" s="57" t="str">
        <f t="shared" si="8"/>
        <v/>
      </c>
    </row>
    <row r="180" spans="1:18" x14ac:dyDescent="0.3">
      <c r="A180" s="42">
        <v>179</v>
      </c>
      <c r="B180" s="42" t="s">
        <v>7</v>
      </c>
      <c r="C180" s="42" t="s">
        <v>221</v>
      </c>
      <c r="D180" s="42" t="s">
        <v>180</v>
      </c>
      <c r="E180" s="42" t="s">
        <v>31</v>
      </c>
      <c r="F180" s="42" t="s">
        <v>106</v>
      </c>
      <c r="G180" s="42" t="s">
        <v>207</v>
      </c>
      <c r="H180" s="42" t="s">
        <v>11</v>
      </c>
      <c r="I180" s="42">
        <v>1</v>
      </c>
      <c r="J180" s="42" t="s">
        <v>40</v>
      </c>
      <c r="K180" s="43">
        <v>50.4</v>
      </c>
      <c r="L180" s="42">
        <v>1000</v>
      </c>
      <c r="M180" s="42" t="s">
        <v>186</v>
      </c>
      <c r="N180" s="44">
        <f t="shared" si="6"/>
        <v>5.04E-2</v>
      </c>
      <c r="O180" s="44">
        <f>+VLOOKUP(J180,TC!$B$6:$C$17,2,0)*PRECIOS!N180</f>
        <v>230.65061078562897</v>
      </c>
      <c r="P180" s="42" t="str">
        <f t="shared" si="7"/>
        <v>Si</v>
      </c>
      <c r="Q180" s="44">
        <f>+IF(I180=1,O180,IF(I180=2,O180/(1+MRI!$C$18),(O180/(1+MRI!$D$18))/(1+MRI!$C$18)))</f>
        <v>230.65061078562897</v>
      </c>
      <c r="R180" s="44">
        <f t="shared" si="8"/>
        <v>230.65061078562897</v>
      </c>
    </row>
    <row r="181" spans="1:18" x14ac:dyDescent="0.3">
      <c r="A181" s="55">
        <v>180</v>
      </c>
      <c r="B181" s="55" t="s">
        <v>7</v>
      </c>
      <c r="C181" s="55" t="s">
        <v>221</v>
      </c>
      <c r="D181" s="55" t="s">
        <v>180</v>
      </c>
      <c r="E181" s="55" t="s">
        <v>124</v>
      </c>
      <c r="F181" s="55" t="s">
        <v>106</v>
      </c>
      <c r="G181" s="55" t="s">
        <v>207</v>
      </c>
      <c r="H181" s="55" t="s">
        <v>20</v>
      </c>
      <c r="I181" s="55">
        <v>3</v>
      </c>
      <c r="J181" s="55" t="s">
        <v>40</v>
      </c>
      <c r="K181" s="56">
        <v>332.72</v>
      </c>
      <c r="L181" s="55">
        <v>4000</v>
      </c>
      <c r="M181" s="55" t="s">
        <v>186</v>
      </c>
      <c r="N181" s="57">
        <f t="shared" si="6"/>
        <v>8.3180000000000004E-2</v>
      </c>
      <c r="O181" s="57">
        <f>+VLOOKUP(J181,TC!$B$6:$C$17,2,0)*PRECIOS!N181</f>
        <v>380.66503581644088</v>
      </c>
      <c r="P181" s="55" t="str">
        <f t="shared" si="7"/>
        <v>No</v>
      </c>
      <c r="Q181" s="57">
        <f>+IF(I181=1,O181,IF(I181=2,O181/(1+MRI!$C$18),(O181/(1+MRI!$D$18))/(1+MRI!$C$18)))</f>
        <v>291.00686320593479</v>
      </c>
      <c r="R181" s="57" t="str">
        <f t="shared" si="8"/>
        <v/>
      </c>
    </row>
    <row r="182" spans="1:18" x14ac:dyDescent="0.3">
      <c r="A182" s="42">
        <v>181</v>
      </c>
      <c r="B182" s="42" t="s">
        <v>7</v>
      </c>
      <c r="C182" s="42" t="s">
        <v>221</v>
      </c>
      <c r="D182" s="42" t="s">
        <v>180</v>
      </c>
      <c r="E182" s="42" t="s">
        <v>124</v>
      </c>
      <c r="F182" s="42" t="s">
        <v>106</v>
      </c>
      <c r="G182" s="42" t="s">
        <v>207</v>
      </c>
      <c r="H182" s="42" t="s">
        <v>11</v>
      </c>
      <c r="I182" s="42">
        <v>1</v>
      </c>
      <c r="J182" s="42" t="s">
        <v>40</v>
      </c>
      <c r="K182" s="43">
        <v>201.6</v>
      </c>
      <c r="L182" s="42">
        <v>4000</v>
      </c>
      <c r="M182" s="42" t="s">
        <v>186</v>
      </c>
      <c r="N182" s="44">
        <f t="shared" si="6"/>
        <v>5.04E-2</v>
      </c>
      <c r="O182" s="44">
        <f>+VLOOKUP(J182,TC!$B$6:$C$17,2,0)*PRECIOS!N182</f>
        <v>230.65061078562897</v>
      </c>
      <c r="P182" s="42" t="str">
        <f t="shared" si="7"/>
        <v>Si</v>
      </c>
      <c r="Q182" s="44">
        <f>+IF(I182=1,O182,IF(I182=2,O182/(1+MRI!$C$18),(O182/(1+MRI!$D$18))/(1+MRI!$C$18)))</f>
        <v>230.65061078562897</v>
      </c>
      <c r="R182" s="44">
        <f t="shared" si="8"/>
        <v>230.65061078562897</v>
      </c>
    </row>
    <row r="183" spans="1:18" x14ac:dyDescent="0.3">
      <c r="A183" s="55">
        <v>182</v>
      </c>
      <c r="B183" s="55" t="s">
        <v>7</v>
      </c>
      <c r="C183" s="55" t="s">
        <v>221</v>
      </c>
      <c r="D183" s="55" t="s">
        <v>180</v>
      </c>
      <c r="E183" s="55" t="s">
        <v>126</v>
      </c>
      <c r="F183" s="55" t="s">
        <v>106</v>
      </c>
      <c r="G183" s="55" t="s">
        <v>207</v>
      </c>
      <c r="H183" s="55" t="s">
        <v>20</v>
      </c>
      <c r="I183" s="55">
        <v>3</v>
      </c>
      <c r="J183" s="55" t="s">
        <v>40</v>
      </c>
      <c r="K183" s="56">
        <v>107.28</v>
      </c>
      <c r="L183" s="55">
        <v>1000</v>
      </c>
      <c r="M183" s="55" t="s">
        <v>186</v>
      </c>
      <c r="N183" s="57">
        <f t="shared" si="6"/>
        <v>0.10728</v>
      </c>
      <c r="O183" s="57">
        <f>+VLOOKUP(J183,TC!$B$6:$C$17,2,0)*PRECIOS!N183</f>
        <v>490.95630010083886</v>
      </c>
      <c r="P183" s="55" t="str">
        <f t="shared" si="7"/>
        <v>No</v>
      </c>
      <c r="Q183" s="57">
        <f>+IF(I183=1,O183,IF(I183=2,O183/(1+MRI!$C$18),(O183/(1+MRI!$D$18))/(1+MRI!$C$18)))</f>
        <v>375.32118639976773</v>
      </c>
      <c r="R183" s="57" t="str">
        <f t="shared" si="8"/>
        <v/>
      </c>
    </row>
    <row r="184" spans="1:18" x14ac:dyDescent="0.3">
      <c r="A184" s="42">
        <v>183</v>
      </c>
      <c r="B184" s="42" t="s">
        <v>7</v>
      </c>
      <c r="C184" s="42" t="s">
        <v>221</v>
      </c>
      <c r="D184" s="42" t="s">
        <v>180</v>
      </c>
      <c r="E184" s="42" t="s">
        <v>126</v>
      </c>
      <c r="F184" s="42" t="s">
        <v>106</v>
      </c>
      <c r="G184" s="42" t="s">
        <v>207</v>
      </c>
      <c r="H184" s="42" t="s">
        <v>11</v>
      </c>
      <c r="I184" s="42">
        <v>1</v>
      </c>
      <c r="J184" s="42" t="s">
        <v>40</v>
      </c>
      <c r="K184" s="43">
        <v>65</v>
      </c>
      <c r="L184" s="42">
        <v>1000</v>
      </c>
      <c r="M184" s="42" t="s">
        <v>186</v>
      </c>
      <c r="N184" s="44">
        <f t="shared" si="6"/>
        <v>6.5000000000000002E-2</v>
      </c>
      <c r="O184" s="44">
        <f>+VLOOKUP(J184,TC!$B$6:$C$17,2,0)*PRECIOS!N184</f>
        <v>297.46606549733895</v>
      </c>
      <c r="P184" s="42" t="str">
        <f t="shared" si="7"/>
        <v>Si</v>
      </c>
      <c r="Q184" s="44">
        <f>+IF(I184=1,O184,IF(I184=2,O184/(1+MRI!$C$18),(O184/(1+MRI!$D$18))/(1+MRI!$C$18)))</f>
        <v>297.46606549733895</v>
      </c>
      <c r="R184" s="44">
        <f t="shared" si="8"/>
        <v>297.46606549733895</v>
      </c>
    </row>
    <row r="185" spans="1:18" x14ac:dyDescent="0.3">
      <c r="A185" s="55">
        <v>184</v>
      </c>
      <c r="B185" s="55" t="s">
        <v>7</v>
      </c>
      <c r="C185" s="55" t="s">
        <v>221</v>
      </c>
      <c r="D185" s="55" t="s">
        <v>180</v>
      </c>
      <c r="E185" s="55" t="s">
        <v>144</v>
      </c>
      <c r="F185" s="55" t="s">
        <v>106</v>
      </c>
      <c r="G185" s="55" t="s">
        <v>207</v>
      </c>
      <c r="H185" s="55" t="s">
        <v>20</v>
      </c>
      <c r="I185" s="55">
        <v>3</v>
      </c>
      <c r="J185" s="55" t="s">
        <v>40</v>
      </c>
      <c r="K185" s="56">
        <v>214.55</v>
      </c>
      <c r="L185" s="55">
        <v>2000</v>
      </c>
      <c r="M185" s="55" t="s">
        <v>186</v>
      </c>
      <c r="N185" s="57">
        <f t="shared" si="6"/>
        <v>0.10727500000000001</v>
      </c>
      <c r="O185" s="57">
        <f>+VLOOKUP(J185,TC!$B$6:$C$17,2,0)*PRECIOS!N185</f>
        <v>490.93341809580062</v>
      </c>
      <c r="P185" s="55" t="str">
        <f t="shared" si="7"/>
        <v>No</v>
      </c>
      <c r="Q185" s="57">
        <f>+IF(I185=1,O185,IF(I185=2,O185/(1+MRI!$C$18),(O185/(1+MRI!$D$18))/(1+MRI!$C$18)))</f>
        <v>375.30369380159476</v>
      </c>
      <c r="R185" s="57" t="str">
        <f t="shared" si="8"/>
        <v/>
      </c>
    </row>
    <row r="186" spans="1:18" x14ac:dyDescent="0.3">
      <c r="A186" s="42">
        <v>185</v>
      </c>
      <c r="B186" s="42" t="s">
        <v>7</v>
      </c>
      <c r="C186" s="42" t="s">
        <v>221</v>
      </c>
      <c r="D186" s="42" t="s">
        <v>180</v>
      </c>
      <c r="E186" s="42" t="s">
        <v>144</v>
      </c>
      <c r="F186" s="42" t="s">
        <v>106</v>
      </c>
      <c r="G186" s="42" t="s">
        <v>207</v>
      </c>
      <c r="H186" s="42" t="s">
        <v>11</v>
      </c>
      <c r="I186" s="42">
        <v>1</v>
      </c>
      <c r="J186" s="42" t="s">
        <v>40</v>
      </c>
      <c r="K186" s="43">
        <v>130</v>
      </c>
      <c r="L186" s="42">
        <v>2000</v>
      </c>
      <c r="M186" s="42" t="s">
        <v>186</v>
      </c>
      <c r="N186" s="44">
        <f t="shared" si="6"/>
        <v>6.5000000000000002E-2</v>
      </c>
      <c r="O186" s="44">
        <f>+VLOOKUP(J186,TC!$B$6:$C$17,2,0)*PRECIOS!N186</f>
        <v>297.46606549733895</v>
      </c>
      <c r="P186" s="42" t="str">
        <f t="shared" si="7"/>
        <v>Si</v>
      </c>
      <c r="Q186" s="44">
        <f>+IF(I186=1,O186,IF(I186=2,O186/(1+MRI!$C$18),(O186/(1+MRI!$D$18))/(1+MRI!$C$18)))</f>
        <v>297.46606549733895</v>
      </c>
      <c r="R186" s="44">
        <f t="shared" si="8"/>
        <v>297.46606549733895</v>
      </c>
    </row>
    <row r="187" spans="1:18" x14ac:dyDescent="0.3">
      <c r="A187" s="55">
        <v>186</v>
      </c>
      <c r="B187" s="55" t="s">
        <v>7</v>
      </c>
      <c r="C187" s="55" t="s">
        <v>221</v>
      </c>
      <c r="D187" s="55" t="s">
        <v>180</v>
      </c>
      <c r="E187" s="55" t="s">
        <v>127</v>
      </c>
      <c r="F187" s="55" t="s">
        <v>106</v>
      </c>
      <c r="G187" s="55" t="s">
        <v>207</v>
      </c>
      <c r="H187" s="55" t="s">
        <v>20</v>
      </c>
      <c r="I187" s="55">
        <v>3</v>
      </c>
      <c r="J187" s="55" t="s">
        <v>40</v>
      </c>
      <c r="K187" s="56">
        <v>429.1</v>
      </c>
      <c r="L187" s="55">
        <v>4000</v>
      </c>
      <c r="M187" s="55" t="s">
        <v>186</v>
      </c>
      <c r="N187" s="57">
        <f t="shared" si="6"/>
        <v>0.10727500000000001</v>
      </c>
      <c r="O187" s="57">
        <f>+VLOOKUP(J187,TC!$B$6:$C$17,2,0)*PRECIOS!N187</f>
        <v>490.93341809580062</v>
      </c>
      <c r="P187" s="55" t="str">
        <f t="shared" si="7"/>
        <v>No</v>
      </c>
      <c r="Q187" s="57">
        <f>+IF(I187=1,O187,IF(I187=2,O187/(1+MRI!$C$18),(O187/(1+MRI!$D$18))/(1+MRI!$C$18)))</f>
        <v>375.30369380159476</v>
      </c>
      <c r="R187" s="57" t="str">
        <f t="shared" si="8"/>
        <v/>
      </c>
    </row>
    <row r="188" spans="1:18" x14ac:dyDescent="0.3">
      <c r="A188" s="42">
        <v>187</v>
      </c>
      <c r="B188" s="42" t="s">
        <v>7</v>
      </c>
      <c r="C188" s="42" t="s">
        <v>221</v>
      </c>
      <c r="D188" s="42" t="s">
        <v>180</v>
      </c>
      <c r="E188" s="42" t="s">
        <v>127</v>
      </c>
      <c r="F188" s="42" t="s">
        <v>106</v>
      </c>
      <c r="G188" s="42" t="s">
        <v>207</v>
      </c>
      <c r="H188" s="42" t="s">
        <v>11</v>
      </c>
      <c r="I188" s="42">
        <v>1</v>
      </c>
      <c r="J188" s="42" t="s">
        <v>40</v>
      </c>
      <c r="K188" s="43">
        <v>260</v>
      </c>
      <c r="L188" s="42">
        <v>4000</v>
      </c>
      <c r="M188" s="42" t="s">
        <v>186</v>
      </c>
      <c r="N188" s="44">
        <f t="shared" si="6"/>
        <v>6.5000000000000002E-2</v>
      </c>
      <c r="O188" s="44">
        <f>+VLOOKUP(J188,TC!$B$6:$C$17,2,0)*PRECIOS!N188</f>
        <v>297.46606549733895</v>
      </c>
      <c r="P188" s="42" t="str">
        <f t="shared" si="7"/>
        <v>Si</v>
      </c>
      <c r="Q188" s="44">
        <f>+IF(I188=1,O188,IF(I188=2,O188/(1+MRI!$C$18),(O188/(1+MRI!$D$18))/(1+MRI!$C$18)))</f>
        <v>297.46606549733895</v>
      </c>
      <c r="R188" s="44">
        <f t="shared" si="8"/>
        <v>297.46606549733895</v>
      </c>
    </row>
    <row r="189" spans="1:18" x14ac:dyDescent="0.3">
      <c r="A189" s="55">
        <v>188</v>
      </c>
      <c r="B189" s="55" t="s">
        <v>7</v>
      </c>
      <c r="C189" s="55" t="s">
        <v>223</v>
      </c>
      <c r="D189" s="55" t="s">
        <v>180</v>
      </c>
      <c r="E189" s="55" t="s">
        <v>33</v>
      </c>
      <c r="F189" s="55" t="s">
        <v>18</v>
      </c>
      <c r="G189" s="55" t="s">
        <v>19</v>
      </c>
      <c r="H189" s="55" t="s">
        <v>20</v>
      </c>
      <c r="I189" s="55">
        <v>3</v>
      </c>
      <c r="J189" s="55" t="s">
        <v>21</v>
      </c>
      <c r="K189" s="56">
        <v>2107.5</v>
      </c>
      <c r="L189" s="55">
        <v>1980</v>
      </c>
      <c r="M189" s="55" t="s">
        <v>186</v>
      </c>
      <c r="N189" s="57">
        <f t="shared" si="6"/>
        <v>1.0643939393939394</v>
      </c>
      <c r="O189" s="57">
        <f>+VLOOKUP(J189,TC!$B$6:$C$17,2,0)*PRECIOS!N189</f>
        <v>454.68977261962306</v>
      </c>
      <c r="P189" s="55" t="str">
        <f t="shared" si="7"/>
        <v>No</v>
      </c>
      <c r="Q189" s="57">
        <f>+IF(I189=1,O189,IF(I189=2,O189/(1+MRI!$C$18),(O189/(1+MRI!$D$18))/(1+MRI!$C$18)))</f>
        <v>347.59652716216556</v>
      </c>
      <c r="R189" s="57" t="str">
        <f t="shared" si="8"/>
        <v/>
      </c>
    </row>
    <row r="190" spans="1:18" x14ac:dyDescent="0.3">
      <c r="A190" s="42">
        <v>189</v>
      </c>
      <c r="B190" s="42" t="s">
        <v>7</v>
      </c>
      <c r="C190" s="42" t="s">
        <v>223</v>
      </c>
      <c r="D190" s="42" t="s">
        <v>180</v>
      </c>
      <c r="E190" s="42" t="s">
        <v>33</v>
      </c>
      <c r="F190" s="42" t="s">
        <v>18</v>
      </c>
      <c r="G190" s="42" t="s">
        <v>19</v>
      </c>
      <c r="H190" s="42" t="s">
        <v>22</v>
      </c>
      <c r="I190" s="42">
        <v>2</v>
      </c>
      <c r="J190" s="42" t="s">
        <v>21</v>
      </c>
      <c r="K190" s="43">
        <v>1616.59</v>
      </c>
      <c r="L190" s="42">
        <v>1980</v>
      </c>
      <c r="M190" s="42" t="s">
        <v>186</v>
      </c>
      <c r="N190" s="44">
        <f t="shared" si="6"/>
        <v>0.81645959595959594</v>
      </c>
      <c r="O190" s="44">
        <f>+VLOOKUP(J190,TC!$B$6:$C$17,2,0)*PRECIOS!N190</f>
        <v>348.77672100553087</v>
      </c>
      <c r="P190" s="42" t="str">
        <f t="shared" si="7"/>
        <v>Si</v>
      </c>
      <c r="Q190" s="44">
        <f>+IF(I190=1,O190,IF(I190=2,O190/(1+MRI!$C$18),(O190/(1+MRI!$D$18))/(1+MRI!$C$18)))</f>
        <v>318.31697013346007</v>
      </c>
      <c r="R190" s="44">
        <f t="shared" si="8"/>
        <v>318.31697013346007</v>
      </c>
    </row>
    <row r="191" spans="1:18" x14ac:dyDescent="0.3">
      <c r="A191" s="55">
        <v>190</v>
      </c>
      <c r="B191" s="55" t="s">
        <v>7</v>
      </c>
      <c r="C191" s="55" t="s">
        <v>223</v>
      </c>
      <c r="D191" s="55" t="s">
        <v>180</v>
      </c>
      <c r="E191" s="55" t="s">
        <v>34</v>
      </c>
      <c r="F191" s="55" t="s">
        <v>18</v>
      </c>
      <c r="G191" s="55" t="s">
        <v>19</v>
      </c>
      <c r="H191" s="55" t="s">
        <v>20</v>
      </c>
      <c r="I191" s="55">
        <v>3</v>
      </c>
      <c r="J191" s="55" t="s">
        <v>21</v>
      </c>
      <c r="K191" s="56">
        <v>4178.8</v>
      </c>
      <c r="L191" s="55">
        <v>3960</v>
      </c>
      <c r="M191" s="55" t="s">
        <v>186</v>
      </c>
      <c r="N191" s="57">
        <f t="shared" si="6"/>
        <v>1.0552525252525253</v>
      </c>
      <c r="O191" s="57">
        <f>+VLOOKUP(J191,TC!$B$6:$C$17,2,0)*PRECIOS!N191</f>
        <v>450.78472641112239</v>
      </c>
      <c r="P191" s="55" t="str">
        <f t="shared" si="7"/>
        <v>No</v>
      </c>
      <c r="Q191" s="57">
        <f>+IF(I191=1,O191,IF(I191=2,O191/(1+MRI!$C$18),(O191/(1+MRI!$D$18))/(1+MRI!$C$18)))</f>
        <v>344.61123788974083</v>
      </c>
      <c r="R191" s="57" t="str">
        <f t="shared" si="8"/>
        <v/>
      </c>
    </row>
    <row r="192" spans="1:18" x14ac:dyDescent="0.3">
      <c r="A192" s="42">
        <v>191</v>
      </c>
      <c r="B192" s="42" t="s">
        <v>7</v>
      </c>
      <c r="C192" s="42" t="s">
        <v>223</v>
      </c>
      <c r="D192" s="42" t="s">
        <v>180</v>
      </c>
      <c r="E192" s="42" t="s">
        <v>34</v>
      </c>
      <c r="F192" s="42" t="s">
        <v>18</v>
      </c>
      <c r="G192" s="42" t="s">
        <v>19</v>
      </c>
      <c r="H192" s="42" t="s">
        <v>22</v>
      </c>
      <c r="I192" s="42">
        <v>2</v>
      </c>
      <c r="J192" s="42" t="s">
        <v>21</v>
      </c>
      <c r="K192" s="43">
        <v>3233.18</v>
      </c>
      <c r="L192" s="42">
        <v>3960</v>
      </c>
      <c r="M192" s="42" t="s">
        <v>186</v>
      </c>
      <c r="N192" s="44">
        <f t="shared" si="6"/>
        <v>0.81645959595959594</v>
      </c>
      <c r="O192" s="44">
        <f>+VLOOKUP(J192,TC!$B$6:$C$17,2,0)*PRECIOS!N192</f>
        <v>348.77672100553087</v>
      </c>
      <c r="P192" s="42" t="str">
        <f t="shared" si="7"/>
        <v>Si</v>
      </c>
      <c r="Q192" s="44">
        <f>+IF(I192=1,O192,IF(I192=2,O192/(1+MRI!$C$18),(O192/(1+MRI!$D$18))/(1+MRI!$C$18)))</f>
        <v>318.31697013346007</v>
      </c>
      <c r="R192" s="44">
        <f t="shared" si="8"/>
        <v>318.31697013346007</v>
      </c>
    </row>
    <row r="193" spans="1:18" x14ac:dyDescent="0.3">
      <c r="A193" s="55">
        <v>192</v>
      </c>
      <c r="B193" s="55" t="s">
        <v>7</v>
      </c>
      <c r="C193" s="55" t="s">
        <v>223</v>
      </c>
      <c r="D193" s="55" t="s">
        <v>180</v>
      </c>
      <c r="E193" s="55" t="s">
        <v>35</v>
      </c>
      <c r="F193" s="55" t="s">
        <v>18</v>
      </c>
      <c r="G193" s="55" t="s">
        <v>19</v>
      </c>
      <c r="H193" s="55" t="s">
        <v>20</v>
      </c>
      <c r="I193" s="55">
        <v>3</v>
      </c>
      <c r="J193" s="55" t="s">
        <v>21</v>
      </c>
      <c r="K193" s="56">
        <v>8321.2999999999993</v>
      </c>
      <c r="L193" s="55">
        <v>7920</v>
      </c>
      <c r="M193" s="55" t="s">
        <v>186</v>
      </c>
      <c r="N193" s="57">
        <f t="shared" si="6"/>
        <v>1.0506691919191917</v>
      </c>
      <c r="O193" s="57">
        <f>+VLOOKUP(J193,TC!$B$6:$C$17,2,0)*PRECIOS!N193</f>
        <v>448.82680959663918</v>
      </c>
      <c r="P193" s="55" t="str">
        <f t="shared" si="7"/>
        <v>No</v>
      </c>
      <c r="Q193" s="57">
        <f>+IF(I193=1,O193,IF(I193=2,O193/(1+MRI!$C$18),(O193/(1+MRI!$D$18))/(1+MRI!$C$18)))</f>
        <v>343.11446992580403</v>
      </c>
      <c r="R193" s="57" t="str">
        <f t="shared" si="8"/>
        <v/>
      </c>
    </row>
    <row r="194" spans="1:18" x14ac:dyDescent="0.3">
      <c r="A194" s="42">
        <v>193</v>
      </c>
      <c r="B194" s="42" t="s">
        <v>7</v>
      </c>
      <c r="C194" s="42" t="s">
        <v>223</v>
      </c>
      <c r="D194" s="42" t="s">
        <v>180</v>
      </c>
      <c r="E194" s="42" t="s">
        <v>35</v>
      </c>
      <c r="F194" s="42" t="s">
        <v>18</v>
      </c>
      <c r="G194" s="42" t="s">
        <v>19</v>
      </c>
      <c r="H194" s="42" t="s">
        <v>22</v>
      </c>
      <c r="I194" s="42">
        <v>2</v>
      </c>
      <c r="J194" s="42" t="s">
        <v>21</v>
      </c>
      <c r="K194" s="43">
        <v>6466.36</v>
      </c>
      <c r="L194" s="42">
        <v>7920</v>
      </c>
      <c r="M194" s="42" t="s">
        <v>186</v>
      </c>
      <c r="N194" s="44">
        <f t="shared" si="6"/>
        <v>0.81645959595959594</v>
      </c>
      <c r="O194" s="44">
        <f>+VLOOKUP(J194,TC!$B$6:$C$17,2,0)*PRECIOS!N194</f>
        <v>348.77672100553087</v>
      </c>
      <c r="P194" s="42" t="str">
        <f t="shared" si="7"/>
        <v>Si</v>
      </c>
      <c r="Q194" s="44">
        <f>+IF(I194=1,O194,IF(I194=2,O194/(1+MRI!$C$18),(O194/(1+MRI!$D$18))/(1+MRI!$C$18)))</f>
        <v>318.31697013346007</v>
      </c>
      <c r="R194" s="44">
        <f t="shared" si="8"/>
        <v>318.31697013346007</v>
      </c>
    </row>
    <row r="195" spans="1:18" x14ac:dyDescent="0.3">
      <c r="A195" s="55">
        <v>194</v>
      </c>
      <c r="B195" s="55" t="s">
        <v>7</v>
      </c>
      <c r="C195" s="55" t="s">
        <v>223</v>
      </c>
      <c r="D195" s="55" t="s">
        <v>180</v>
      </c>
      <c r="E195" s="55" t="s">
        <v>128</v>
      </c>
      <c r="F195" s="55" t="s">
        <v>18</v>
      </c>
      <c r="G195" s="55" t="s">
        <v>19</v>
      </c>
      <c r="H195" s="55" t="s">
        <v>20</v>
      </c>
      <c r="I195" s="55">
        <v>3</v>
      </c>
      <c r="J195" s="55" t="s">
        <v>21</v>
      </c>
      <c r="K195" s="56">
        <v>1071.9000000000001</v>
      </c>
      <c r="L195" s="55">
        <v>990</v>
      </c>
      <c r="M195" s="55" t="s">
        <v>186</v>
      </c>
      <c r="N195" s="57">
        <f t="shared" ref="N195:N258" si="9">+K195/L195</f>
        <v>1.0827272727272728</v>
      </c>
      <c r="O195" s="57">
        <f>+VLOOKUP(J195,TC!$B$6:$C$17,2,0)*PRECIOS!N195</f>
        <v>462.52143987755534</v>
      </c>
      <c r="P195" s="55" t="str">
        <f t="shared" ref="P195:P258" si="10">IF(_xlfn.MINIFS($I:$I,$F:$F,F195,$E:$E,E195)=I195,"Si","No")</f>
        <v>No</v>
      </c>
      <c r="Q195" s="57">
        <f>+IF(I195=1,O195,IF(I195=2,O195/(1+MRI!$C$18),(O195/(1+MRI!$D$18))/(1+MRI!$C$18)))</f>
        <v>353.58359901791249</v>
      </c>
      <c r="R195" s="57" t="str">
        <f t="shared" ref="R195:R258" si="11">+IF(P195="Si",Q195,"")</f>
        <v/>
      </c>
    </row>
    <row r="196" spans="1:18" x14ac:dyDescent="0.3">
      <c r="A196" s="42">
        <v>195</v>
      </c>
      <c r="B196" s="42" t="s">
        <v>7</v>
      </c>
      <c r="C196" s="42" t="s">
        <v>223</v>
      </c>
      <c r="D196" s="42" t="s">
        <v>180</v>
      </c>
      <c r="E196" s="42" t="s">
        <v>128</v>
      </c>
      <c r="F196" s="42" t="s">
        <v>18</v>
      </c>
      <c r="G196" s="42" t="s">
        <v>19</v>
      </c>
      <c r="H196" s="42" t="s">
        <v>22</v>
      </c>
      <c r="I196" s="42">
        <v>2</v>
      </c>
      <c r="J196" s="42" t="s">
        <v>21</v>
      </c>
      <c r="K196" s="43">
        <v>808.29</v>
      </c>
      <c r="L196" s="42">
        <v>990</v>
      </c>
      <c r="M196" s="42" t="s">
        <v>186</v>
      </c>
      <c r="N196" s="44">
        <f t="shared" si="9"/>
        <v>0.81645454545454543</v>
      </c>
      <c r="O196" s="44">
        <f>+VLOOKUP(J196,TC!$B$6:$C$17,2,0)*PRECIOS!N196</f>
        <v>348.77456352143781</v>
      </c>
      <c r="P196" s="42" t="str">
        <f t="shared" si="10"/>
        <v>Si</v>
      </c>
      <c r="Q196" s="44">
        <f>+IF(I196=1,O196,IF(I196=2,O196/(1+MRI!$C$18),(O196/(1+MRI!$D$18))/(1+MRI!$C$18)))</f>
        <v>318.31500106913251</v>
      </c>
      <c r="R196" s="44">
        <f t="shared" si="11"/>
        <v>318.31500106913251</v>
      </c>
    </row>
    <row r="197" spans="1:18" x14ac:dyDescent="0.3">
      <c r="A197" s="55">
        <v>196</v>
      </c>
      <c r="B197" s="55" t="s">
        <v>7</v>
      </c>
      <c r="C197" s="55" t="s">
        <v>223</v>
      </c>
      <c r="D197" s="55" t="s">
        <v>180</v>
      </c>
      <c r="E197" s="55" t="s">
        <v>31</v>
      </c>
      <c r="F197" s="55" t="s">
        <v>18</v>
      </c>
      <c r="G197" s="55" t="s">
        <v>19</v>
      </c>
      <c r="H197" s="55" t="s">
        <v>20</v>
      </c>
      <c r="I197" s="55">
        <v>3</v>
      </c>
      <c r="J197" s="55" t="s">
        <v>21</v>
      </c>
      <c r="K197" s="56">
        <v>1077.2</v>
      </c>
      <c r="L197" s="55">
        <v>1000</v>
      </c>
      <c r="M197" s="55" t="s">
        <v>186</v>
      </c>
      <c r="N197" s="57">
        <f t="shared" si="9"/>
        <v>1.0771999999999999</v>
      </c>
      <c r="O197" s="57">
        <f>+VLOOKUP(J197,TC!$B$6:$C$17,2,0)*PRECIOS!N197</f>
        <v>460.1602892860729</v>
      </c>
      <c r="P197" s="55" t="str">
        <f t="shared" si="10"/>
        <v>No</v>
      </c>
      <c r="Q197" s="57">
        <f>+IF(I197=1,O197,IF(I197=2,O197/(1+MRI!$C$18),(O197/(1+MRI!$D$18))/(1+MRI!$C$18)))</f>
        <v>351.77857107330379</v>
      </c>
      <c r="R197" s="57" t="str">
        <f t="shared" si="11"/>
        <v/>
      </c>
    </row>
    <row r="198" spans="1:18" x14ac:dyDescent="0.3">
      <c r="A198" s="42">
        <v>197</v>
      </c>
      <c r="B198" s="42" t="s">
        <v>7</v>
      </c>
      <c r="C198" s="42" t="s">
        <v>223</v>
      </c>
      <c r="D198" s="42" t="s">
        <v>180</v>
      </c>
      <c r="E198" s="42" t="s">
        <v>31</v>
      </c>
      <c r="F198" s="42" t="s">
        <v>18</v>
      </c>
      <c r="G198" s="42" t="s">
        <v>19</v>
      </c>
      <c r="H198" s="42" t="s">
        <v>22</v>
      </c>
      <c r="I198" s="42">
        <v>2</v>
      </c>
      <c r="J198" s="42" t="s">
        <v>21</v>
      </c>
      <c r="K198" s="43">
        <v>816.45</v>
      </c>
      <c r="L198" s="42">
        <v>1000</v>
      </c>
      <c r="M198" s="42" t="s">
        <v>186</v>
      </c>
      <c r="N198" s="44">
        <f t="shared" si="9"/>
        <v>0.81645000000000001</v>
      </c>
      <c r="O198" s="44">
        <f>+VLOOKUP(J198,TC!$B$6:$C$17,2,0)*PRECIOS!N198</f>
        <v>348.77262178575404</v>
      </c>
      <c r="P198" s="42" t="str">
        <f t="shared" si="10"/>
        <v>Si</v>
      </c>
      <c r="Q198" s="44">
        <f>+IF(I198=1,O198,IF(I198=2,O198/(1+MRI!$C$18),(O198/(1+MRI!$D$18))/(1+MRI!$C$18)))</f>
        <v>318.31322891123767</v>
      </c>
      <c r="R198" s="44">
        <f t="shared" si="11"/>
        <v>318.31322891123767</v>
      </c>
    </row>
    <row r="199" spans="1:18" x14ac:dyDescent="0.3">
      <c r="A199" s="55">
        <v>198</v>
      </c>
      <c r="B199" s="55" t="s">
        <v>7</v>
      </c>
      <c r="C199" s="55" t="s">
        <v>223</v>
      </c>
      <c r="D199" s="55" t="s">
        <v>180</v>
      </c>
      <c r="E199" s="55" t="s">
        <v>124</v>
      </c>
      <c r="F199" s="55" t="s">
        <v>18</v>
      </c>
      <c r="G199" s="55" t="s">
        <v>19</v>
      </c>
      <c r="H199" s="55" t="s">
        <v>20</v>
      </c>
      <c r="I199" s="55">
        <v>3</v>
      </c>
      <c r="J199" s="55" t="s">
        <v>21</v>
      </c>
      <c r="K199" s="56">
        <v>4200.1000000000004</v>
      </c>
      <c r="L199" s="55">
        <v>4000</v>
      </c>
      <c r="M199" s="55" t="s">
        <v>186</v>
      </c>
      <c r="N199" s="57">
        <f t="shared" si="9"/>
        <v>1.050025</v>
      </c>
      <c r="O199" s="57">
        <f>+VLOOKUP(J199,TC!$B$6:$C$17,2,0)*PRECIOS!N199</f>
        <v>448.55162250056509</v>
      </c>
      <c r="P199" s="55" t="str">
        <f t="shared" si="10"/>
        <v>No</v>
      </c>
      <c r="Q199" s="57">
        <f>+IF(I199=1,O199,IF(I199=2,O199/(1+MRI!$C$18),(O199/(1+MRI!$D$18))/(1+MRI!$C$18)))</f>
        <v>342.90409774530804</v>
      </c>
      <c r="R199" s="57" t="str">
        <f t="shared" si="11"/>
        <v/>
      </c>
    </row>
    <row r="200" spans="1:18" x14ac:dyDescent="0.3">
      <c r="A200" s="42">
        <v>199</v>
      </c>
      <c r="B200" s="42" t="s">
        <v>7</v>
      </c>
      <c r="C200" s="42" t="s">
        <v>223</v>
      </c>
      <c r="D200" s="42" t="s">
        <v>180</v>
      </c>
      <c r="E200" s="42" t="s">
        <v>124</v>
      </c>
      <c r="F200" s="42" t="s">
        <v>18</v>
      </c>
      <c r="G200" s="42" t="s">
        <v>19</v>
      </c>
      <c r="H200" s="42" t="s">
        <v>22</v>
      </c>
      <c r="I200" s="42">
        <v>2</v>
      </c>
      <c r="J200" s="42" t="s">
        <v>21</v>
      </c>
      <c r="K200" s="43">
        <v>3265.8</v>
      </c>
      <c r="L200" s="42">
        <v>4000</v>
      </c>
      <c r="M200" s="42" t="s">
        <v>186</v>
      </c>
      <c r="N200" s="44">
        <f t="shared" si="9"/>
        <v>0.81645000000000001</v>
      </c>
      <c r="O200" s="44">
        <f>+VLOOKUP(J200,TC!$B$6:$C$17,2,0)*PRECIOS!N200</f>
        <v>348.77262178575404</v>
      </c>
      <c r="P200" s="42" t="str">
        <f t="shared" si="10"/>
        <v>Si</v>
      </c>
      <c r="Q200" s="44">
        <f>+IF(I200=1,O200,IF(I200=2,O200/(1+MRI!$C$18),(O200/(1+MRI!$D$18))/(1+MRI!$C$18)))</f>
        <v>318.31322891123767</v>
      </c>
      <c r="R200" s="44">
        <f t="shared" si="11"/>
        <v>318.31322891123767</v>
      </c>
    </row>
    <row r="201" spans="1:18" x14ac:dyDescent="0.3">
      <c r="A201" s="55">
        <v>200</v>
      </c>
      <c r="B201" s="55" t="s">
        <v>7</v>
      </c>
      <c r="C201" s="55" t="s">
        <v>223</v>
      </c>
      <c r="D201" s="55" t="s">
        <v>180</v>
      </c>
      <c r="E201" s="55" t="s">
        <v>125</v>
      </c>
      <c r="F201" s="55" t="s">
        <v>18</v>
      </c>
      <c r="G201" s="55" t="s">
        <v>19</v>
      </c>
      <c r="H201" s="55" t="s">
        <v>20</v>
      </c>
      <c r="I201" s="55">
        <v>3</v>
      </c>
      <c r="J201" s="55" t="s">
        <v>21</v>
      </c>
      <c r="K201" s="56">
        <v>1077.2</v>
      </c>
      <c r="L201" s="55">
        <v>1000</v>
      </c>
      <c r="M201" s="55" t="s">
        <v>186</v>
      </c>
      <c r="N201" s="57">
        <f t="shared" si="9"/>
        <v>1.0771999999999999</v>
      </c>
      <c r="O201" s="57">
        <f>+VLOOKUP(J201,TC!$B$6:$C$17,2,0)*PRECIOS!N201</f>
        <v>460.1602892860729</v>
      </c>
      <c r="P201" s="55" t="str">
        <f t="shared" si="10"/>
        <v>No</v>
      </c>
      <c r="Q201" s="57">
        <f>+IF(I201=1,O201,IF(I201=2,O201/(1+MRI!$C$18),(O201/(1+MRI!$D$18))/(1+MRI!$C$18)))</f>
        <v>351.77857107330379</v>
      </c>
      <c r="R201" s="57" t="str">
        <f t="shared" si="11"/>
        <v/>
      </c>
    </row>
    <row r="202" spans="1:18" x14ac:dyDescent="0.3">
      <c r="A202" s="42">
        <v>201</v>
      </c>
      <c r="B202" s="42" t="s">
        <v>7</v>
      </c>
      <c r="C202" s="42" t="s">
        <v>223</v>
      </c>
      <c r="D202" s="42" t="s">
        <v>180</v>
      </c>
      <c r="E202" s="42" t="s">
        <v>125</v>
      </c>
      <c r="F202" s="42" t="s">
        <v>18</v>
      </c>
      <c r="G202" s="42" t="s">
        <v>19</v>
      </c>
      <c r="H202" s="42" t="s">
        <v>22</v>
      </c>
      <c r="I202" s="42">
        <v>2</v>
      </c>
      <c r="J202" s="42" t="s">
        <v>21</v>
      </c>
      <c r="K202" s="43">
        <v>816.45</v>
      </c>
      <c r="L202" s="42">
        <v>1000</v>
      </c>
      <c r="M202" s="42" t="s">
        <v>186</v>
      </c>
      <c r="N202" s="44">
        <f t="shared" si="9"/>
        <v>0.81645000000000001</v>
      </c>
      <c r="O202" s="44">
        <f>+VLOOKUP(J202,TC!$B$6:$C$17,2,0)*PRECIOS!N202</f>
        <v>348.77262178575404</v>
      </c>
      <c r="P202" s="42" t="str">
        <f t="shared" si="10"/>
        <v>Si</v>
      </c>
      <c r="Q202" s="44">
        <f>+IF(I202=1,O202,IF(I202=2,O202/(1+MRI!$C$18),(O202/(1+MRI!$D$18))/(1+MRI!$C$18)))</f>
        <v>318.31322891123767</v>
      </c>
      <c r="R202" s="44">
        <f t="shared" si="11"/>
        <v>318.31322891123767</v>
      </c>
    </row>
    <row r="203" spans="1:18" x14ac:dyDescent="0.3">
      <c r="A203" s="55">
        <v>202</v>
      </c>
      <c r="B203" s="55" t="s">
        <v>7</v>
      </c>
      <c r="C203" s="55" t="s">
        <v>223</v>
      </c>
      <c r="D203" s="55" t="s">
        <v>180</v>
      </c>
      <c r="E203" s="55" t="s">
        <v>126</v>
      </c>
      <c r="F203" s="55" t="s">
        <v>18</v>
      </c>
      <c r="G203" s="55" t="s">
        <v>19</v>
      </c>
      <c r="H203" s="55" t="s">
        <v>20</v>
      </c>
      <c r="I203" s="55">
        <v>3</v>
      </c>
      <c r="J203" s="55" t="s">
        <v>21</v>
      </c>
      <c r="K203" s="56">
        <v>1077.2</v>
      </c>
      <c r="L203" s="55">
        <v>1000</v>
      </c>
      <c r="M203" s="55" t="s">
        <v>186</v>
      </c>
      <c r="N203" s="57">
        <f t="shared" si="9"/>
        <v>1.0771999999999999</v>
      </c>
      <c r="O203" s="57">
        <f>+VLOOKUP(J203,TC!$B$6:$C$17,2,0)*PRECIOS!N203</f>
        <v>460.1602892860729</v>
      </c>
      <c r="P203" s="55" t="str">
        <f t="shared" si="10"/>
        <v>No</v>
      </c>
      <c r="Q203" s="57">
        <f>+IF(I203=1,O203,IF(I203=2,O203/(1+MRI!$C$18),(O203/(1+MRI!$D$18))/(1+MRI!$C$18)))</f>
        <v>351.77857107330379</v>
      </c>
      <c r="R203" s="57" t="str">
        <f t="shared" si="11"/>
        <v/>
      </c>
    </row>
    <row r="204" spans="1:18" x14ac:dyDescent="0.3">
      <c r="A204" s="42">
        <v>203</v>
      </c>
      <c r="B204" s="42" t="s">
        <v>7</v>
      </c>
      <c r="C204" s="42" t="s">
        <v>223</v>
      </c>
      <c r="D204" s="42" t="s">
        <v>180</v>
      </c>
      <c r="E204" s="42" t="s">
        <v>126</v>
      </c>
      <c r="F204" s="42" t="s">
        <v>18</v>
      </c>
      <c r="G204" s="42" t="s">
        <v>19</v>
      </c>
      <c r="H204" s="42" t="s">
        <v>22</v>
      </c>
      <c r="I204" s="42">
        <v>2</v>
      </c>
      <c r="J204" s="42" t="s">
        <v>21</v>
      </c>
      <c r="K204" s="43">
        <v>816.46</v>
      </c>
      <c r="L204" s="42">
        <v>1000</v>
      </c>
      <c r="M204" s="42" t="s">
        <v>186</v>
      </c>
      <c r="N204" s="44">
        <f t="shared" si="9"/>
        <v>0.81646000000000007</v>
      </c>
      <c r="O204" s="44">
        <f>+VLOOKUP(J204,TC!$B$6:$C$17,2,0)*PRECIOS!N204</f>
        <v>348.77689360425836</v>
      </c>
      <c r="P204" s="42" t="str">
        <f t="shared" si="10"/>
        <v>Si</v>
      </c>
      <c r="Q204" s="44">
        <f>+IF(I204=1,O204,IF(I204=2,O204/(1+MRI!$C$18),(O204/(1+MRI!$D$18))/(1+MRI!$C$18)))</f>
        <v>318.3171276586063</v>
      </c>
      <c r="R204" s="44">
        <f t="shared" si="11"/>
        <v>318.3171276586063</v>
      </c>
    </row>
    <row r="205" spans="1:18" x14ac:dyDescent="0.3">
      <c r="A205" s="55">
        <v>204</v>
      </c>
      <c r="B205" s="55" t="s">
        <v>7</v>
      </c>
      <c r="C205" s="55" t="s">
        <v>223</v>
      </c>
      <c r="D205" s="55" t="s">
        <v>180</v>
      </c>
      <c r="E205" s="55" t="s">
        <v>26</v>
      </c>
      <c r="F205" s="55" t="s">
        <v>18</v>
      </c>
      <c r="G205" s="55" t="s">
        <v>19</v>
      </c>
      <c r="H205" s="55" t="s">
        <v>20</v>
      </c>
      <c r="I205" s="55">
        <v>3</v>
      </c>
      <c r="J205" s="55" t="s">
        <v>21</v>
      </c>
      <c r="K205" s="56">
        <v>2118.1999999999998</v>
      </c>
      <c r="L205" s="55">
        <v>2000</v>
      </c>
      <c r="M205" s="55" t="s">
        <v>186</v>
      </c>
      <c r="N205" s="57">
        <f t="shared" si="9"/>
        <v>1.0590999999999999</v>
      </c>
      <c r="O205" s="57">
        <f>+VLOOKUP(J205,TC!$B$6:$C$17,2,0)*PRECIOS!N205</f>
        <v>452.42829779324154</v>
      </c>
      <c r="P205" s="55" t="str">
        <f t="shared" si="10"/>
        <v>No</v>
      </c>
      <c r="Q205" s="57">
        <f>+IF(I205=1,O205,IF(I205=2,O205/(1+MRI!$C$18),(O205/(1+MRI!$D$18))/(1+MRI!$C$18)))</f>
        <v>345.86769831390274</v>
      </c>
      <c r="R205" s="57" t="str">
        <f t="shared" si="11"/>
        <v/>
      </c>
    </row>
    <row r="206" spans="1:18" x14ac:dyDescent="0.3">
      <c r="A206" s="42">
        <v>205</v>
      </c>
      <c r="B206" s="42" t="s">
        <v>7</v>
      </c>
      <c r="C206" s="42" t="s">
        <v>223</v>
      </c>
      <c r="D206" s="42" t="s">
        <v>180</v>
      </c>
      <c r="E206" s="42" t="s">
        <v>26</v>
      </c>
      <c r="F206" s="42" t="s">
        <v>18</v>
      </c>
      <c r="G206" s="42" t="s">
        <v>19</v>
      </c>
      <c r="H206" s="42" t="s">
        <v>22</v>
      </c>
      <c r="I206" s="42">
        <v>2</v>
      </c>
      <c r="J206" s="42" t="s">
        <v>21</v>
      </c>
      <c r="K206" s="43">
        <v>1632.92</v>
      </c>
      <c r="L206" s="42">
        <v>2000</v>
      </c>
      <c r="M206" s="42" t="s">
        <v>186</v>
      </c>
      <c r="N206" s="44">
        <f t="shared" si="9"/>
        <v>0.81646000000000007</v>
      </c>
      <c r="O206" s="44">
        <f>+VLOOKUP(J206,TC!$B$6:$C$17,2,0)*PRECIOS!N206</f>
        <v>348.77689360425836</v>
      </c>
      <c r="P206" s="42" t="str">
        <f t="shared" si="10"/>
        <v>Si</v>
      </c>
      <c r="Q206" s="44">
        <f>+IF(I206=1,O206,IF(I206=2,O206/(1+MRI!$C$18),(O206/(1+MRI!$D$18))/(1+MRI!$C$18)))</f>
        <v>318.3171276586063</v>
      </c>
      <c r="R206" s="44">
        <f t="shared" si="11"/>
        <v>318.3171276586063</v>
      </c>
    </row>
    <row r="207" spans="1:18" x14ac:dyDescent="0.3">
      <c r="A207" s="55">
        <v>206</v>
      </c>
      <c r="B207" s="55" t="s">
        <v>7</v>
      </c>
      <c r="C207" s="55" t="s">
        <v>223</v>
      </c>
      <c r="D207" s="55" t="s">
        <v>180</v>
      </c>
      <c r="E207" s="55" t="s">
        <v>127</v>
      </c>
      <c r="F207" s="55" t="s">
        <v>18</v>
      </c>
      <c r="G207" s="55" t="s">
        <v>19</v>
      </c>
      <c r="H207" s="55" t="s">
        <v>20</v>
      </c>
      <c r="I207" s="55">
        <v>3</v>
      </c>
      <c r="J207" s="55" t="s">
        <v>21</v>
      </c>
      <c r="K207" s="56">
        <v>4200.2</v>
      </c>
      <c r="L207" s="55">
        <v>4000</v>
      </c>
      <c r="M207" s="55" t="s">
        <v>186</v>
      </c>
      <c r="N207" s="57">
        <f t="shared" si="9"/>
        <v>1.0500499999999999</v>
      </c>
      <c r="O207" s="57">
        <f>+VLOOKUP(J207,TC!$B$6:$C$17,2,0)*PRECIOS!N207</f>
        <v>448.56230204682589</v>
      </c>
      <c r="P207" s="55" t="str">
        <f t="shared" si="10"/>
        <v>No</v>
      </c>
      <c r="Q207" s="57">
        <f>+IF(I207=1,O207,IF(I207=2,O207/(1+MRI!$C$18),(O207/(1+MRI!$D$18))/(1+MRI!$C$18)))</f>
        <v>342.91226193420226</v>
      </c>
      <c r="R207" s="57" t="str">
        <f t="shared" si="11"/>
        <v/>
      </c>
    </row>
    <row r="208" spans="1:18" x14ac:dyDescent="0.3">
      <c r="A208" s="42">
        <v>207</v>
      </c>
      <c r="B208" s="42" t="s">
        <v>7</v>
      </c>
      <c r="C208" s="42" t="s">
        <v>223</v>
      </c>
      <c r="D208" s="42" t="s">
        <v>180</v>
      </c>
      <c r="E208" s="42" t="s">
        <v>127</v>
      </c>
      <c r="F208" s="42" t="s">
        <v>18</v>
      </c>
      <c r="G208" s="42" t="s">
        <v>19</v>
      </c>
      <c r="H208" s="42" t="s">
        <v>22</v>
      </c>
      <c r="I208" s="42">
        <v>2</v>
      </c>
      <c r="J208" s="42" t="s">
        <v>21</v>
      </c>
      <c r="K208" s="43">
        <v>3265.84</v>
      </c>
      <c r="L208" s="42">
        <v>4000</v>
      </c>
      <c r="M208" s="42" t="s">
        <v>186</v>
      </c>
      <c r="N208" s="44">
        <f t="shared" si="9"/>
        <v>0.81646000000000007</v>
      </c>
      <c r="O208" s="44">
        <f>+VLOOKUP(J208,TC!$B$6:$C$17,2,0)*PRECIOS!N208</f>
        <v>348.77689360425836</v>
      </c>
      <c r="P208" s="42" t="str">
        <f t="shared" si="10"/>
        <v>Si</v>
      </c>
      <c r="Q208" s="44">
        <f>+IF(I208=1,O208,IF(I208=2,O208/(1+MRI!$C$18),(O208/(1+MRI!$D$18))/(1+MRI!$C$18)))</f>
        <v>318.3171276586063</v>
      </c>
      <c r="R208" s="44">
        <f t="shared" si="11"/>
        <v>318.3171276586063</v>
      </c>
    </row>
    <row r="209" spans="1:18" x14ac:dyDescent="0.3">
      <c r="A209" s="55">
        <v>208</v>
      </c>
      <c r="B209" s="55" t="s">
        <v>7</v>
      </c>
      <c r="C209" s="55" t="s">
        <v>224</v>
      </c>
      <c r="D209" s="55" t="s">
        <v>180</v>
      </c>
      <c r="E209" s="55" t="s">
        <v>31</v>
      </c>
      <c r="F209" s="55" t="s">
        <v>108</v>
      </c>
      <c r="G209" s="55" t="s">
        <v>178</v>
      </c>
      <c r="H209" s="55" t="s">
        <v>11</v>
      </c>
      <c r="I209" s="55">
        <v>1</v>
      </c>
      <c r="J209" s="55" t="s">
        <v>94</v>
      </c>
      <c r="K209" s="56">
        <v>1191.6600000000001</v>
      </c>
      <c r="L209" s="55">
        <v>1000</v>
      </c>
      <c r="M209" s="55" t="s">
        <v>186</v>
      </c>
      <c r="N209" s="57">
        <f t="shared" si="9"/>
        <v>1.1916600000000002</v>
      </c>
      <c r="O209" s="57">
        <f>+VLOOKUP(J209,TC!$B$6:$C$17,2,0)*PRECIOS!N209</f>
        <v>295.32069210403364</v>
      </c>
      <c r="P209" s="55" t="str">
        <f t="shared" si="10"/>
        <v>Si</v>
      </c>
      <c r="Q209" s="57">
        <f>+IF(I209=1,O209,IF(I209=2,O209/(1+MRI!$C$18),(O209/(1+MRI!$D$18))/(1+MRI!$C$18)))</f>
        <v>295.32069210403364</v>
      </c>
      <c r="R209" s="57">
        <f t="shared" si="11"/>
        <v>295.32069210403364</v>
      </c>
    </row>
    <row r="210" spans="1:18" x14ac:dyDescent="0.3">
      <c r="A210" s="42">
        <v>209</v>
      </c>
      <c r="B210" s="42" t="s">
        <v>7</v>
      </c>
      <c r="C210" s="42" t="s">
        <v>224</v>
      </c>
      <c r="D210" s="42" t="s">
        <v>180</v>
      </c>
      <c r="E210" s="42" t="s">
        <v>124</v>
      </c>
      <c r="F210" s="42" t="s">
        <v>108</v>
      </c>
      <c r="G210" s="42" t="s">
        <v>178</v>
      </c>
      <c r="H210" s="42" t="s">
        <v>11</v>
      </c>
      <c r="I210" s="42">
        <v>1</v>
      </c>
      <c r="J210" s="42" t="s">
        <v>94</v>
      </c>
      <c r="K210" s="43">
        <v>5268.84</v>
      </c>
      <c r="L210" s="42">
        <v>4000</v>
      </c>
      <c r="M210" s="42" t="s">
        <v>186</v>
      </c>
      <c r="N210" s="44">
        <f t="shared" si="9"/>
        <v>1.31721</v>
      </c>
      <c r="O210" s="44">
        <f>+VLOOKUP(J210,TC!$B$6:$C$17,2,0)*PRECIOS!N210</f>
        <v>326.4348630031671</v>
      </c>
      <c r="P210" s="42" t="str">
        <f t="shared" si="10"/>
        <v>Si</v>
      </c>
      <c r="Q210" s="44">
        <f>+IF(I210=1,O210,IF(I210=2,O210/(1+MRI!$C$18),(O210/(1+MRI!$D$18))/(1+MRI!$C$18)))</f>
        <v>326.4348630031671</v>
      </c>
      <c r="R210" s="44">
        <f t="shared" si="11"/>
        <v>326.4348630031671</v>
      </c>
    </row>
    <row r="211" spans="1:18" x14ac:dyDescent="0.3">
      <c r="A211" s="55">
        <v>210</v>
      </c>
      <c r="B211" s="55" t="s">
        <v>7</v>
      </c>
      <c r="C211" s="55" t="s">
        <v>224</v>
      </c>
      <c r="D211" s="55" t="s">
        <v>180</v>
      </c>
      <c r="E211" s="55" t="s">
        <v>125</v>
      </c>
      <c r="F211" s="55" t="s">
        <v>108</v>
      </c>
      <c r="G211" s="55" t="s">
        <v>178</v>
      </c>
      <c r="H211" s="55" t="s">
        <v>11</v>
      </c>
      <c r="I211" s="55">
        <v>1</v>
      </c>
      <c r="J211" s="55" t="s">
        <v>94</v>
      </c>
      <c r="K211" s="56">
        <v>1191.6600000000001</v>
      </c>
      <c r="L211" s="55">
        <v>1000</v>
      </c>
      <c r="M211" s="55" t="s">
        <v>186</v>
      </c>
      <c r="N211" s="57">
        <f t="shared" si="9"/>
        <v>1.1916600000000002</v>
      </c>
      <c r="O211" s="57">
        <f>+VLOOKUP(J211,TC!$B$6:$C$17,2,0)*PRECIOS!N211</f>
        <v>295.32069210403364</v>
      </c>
      <c r="P211" s="55" t="str">
        <f t="shared" si="10"/>
        <v>Si</v>
      </c>
      <c r="Q211" s="57">
        <f>+IF(I211=1,O211,IF(I211=2,O211/(1+MRI!$C$18),(O211/(1+MRI!$D$18))/(1+MRI!$C$18)))</f>
        <v>295.32069210403364</v>
      </c>
      <c r="R211" s="57">
        <f t="shared" si="11"/>
        <v>295.32069210403364</v>
      </c>
    </row>
    <row r="212" spans="1:18" x14ac:dyDescent="0.3">
      <c r="A212" s="42">
        <v>211</v>
      </c>
      <c r="B212" s="42" t="s">
        <v>7</v>
      </c>
      <c r="C212" s="42" t="s">
        <v>240</v>
      </c>
      <c r="D212" s="42" t="s">
        <v>180</v>
      </c>
      <c r="E212" s="42" t="s">
        <v>34</v>
      </c>
      <c r="F212" s="42" t="s">
        <v>41</v>
      </c>
      <c r="G212" s="42" t="s">
        <v>174</v>
      </c>
      <c r="H212" s="42" t="s">
        <v>13</v>
      </c>
      <c r="I212" s="42">
        <v>2</v>
      </c>
      <c r="J212" s="42" t="s">
        <v>43</v>
      </c>
      <c r="K212" s="43">
        <v>294</v>
      </c>
      <c r="L212" s="42">
        <v>3960</v>
      </c>
      <c r="M212" s="42" t="s">
        <v>186</v>
      </c>
      <c r="N212" s="44">
        <f t="shared" si="9"/>
        <v>7.4242424242424249E-2</v>
      </c>
      <c r="O212" s="44">
        <f>+VLOOKUP(J212,TC!$B$6:$C$17,2,0)*PRECIOS!N212</f>
        <v>394.41232113428157</v>
      </c>
      <c r="P212" s="42" t="str">
        <f t="shared" si="10"/>
        <v>Si</v>
      </c>
      <c r="Q212" s="44">
        <f>+IF(I212=1,O212,IF(I212=2,O212/(1+MRI!$C$18),(O212/(1+MRI!$D$18))/(1+MRI!$C$18)))</f>
        <v>359.96707201332634</v>
      </c>
      <c r="R212" s="44">
        <f t="shared" si="11"/>
        <v>359.96707201332634</v>
      </c>
    </row>
    <row r="213" spans="1:18" x14ac:dyDescent="0.3">
      <c r="A213" s="55">
        <v>212</v>
      </c>
      <c r="B213" s="55" t="s">
        <v>7</v>
      </c>
      <c r="C213" s="55" t="s">
        <v>240</v>
      </c>
      <c r="D213" s="55" t="s">
        <v>180</v>
      </c>
      <c r="E213" s="55" t="s">
        <v>35</v>
      </c>
      <c r="F213" s="55" t="s">
        <v>41</v>
      </c>
      <c r="G213" s="55" t="s">
        <v>174</v>
      </c>
      <c r="H213" s="55" t="s">
        <v>13</v>
      </c>
      <c r="I213" s="55">
        <v>2</v>
      </c>
      <c r="J213" s="55" t="s">
        <v>43</v>
      </c>
      <c r="K213" s="56">
        <v>588</v>
      </c>
      <c r="L213" s="55">
        <v>7920</v>
      </c>
      <c r="M213" s="55" t="s">
        <v>186</v>
      </c>
      <c r="N213" s="57">
        <f t="shared" si="9"/>
        <v>7.4242424242424249E-2</v>
      </c>
      <c r="O213" s="57">
        <f>+VLOOKUP(J213,TC!$B$6:$C$17,2,0)*PRECIOS!N213</f>
        <v>394.41232113428157</v>
      </c>
      <c r="P213" s="55" t="str">
        <f t="shared" si="10"/>
        <v>Si</v>
      </c>
      <c r="Q213" s="57">
        <f>+IF(I213=1,O213,IF(I213=2,O213/(1+MRI!$C$18),(O213/(1+MRI!$D$18))/(1+MRI!$C$18)))</f>
        <v>359.96707201332634</v>
      </c>
      <c r="R213" s="57">
        <f t="shared" si="11"/>
        <v>359.96707201332634</v>
      </c>
    </row>
    <row r="214" spans="1:18" x14ac:dyDescent="0.3">
      <c r="A214" s="42">
        <v>213</v>
      </c>
      <c r="B214" s="42" t="s">
        <v>7</v>
      </c>
      <c r="C214" s="42" t="s">
        <v>240</v>
      </c>
      <c r="D214" s="42" t="s">
        <v>180</v>
      </c>
      <c r="E214" s="42" t="s">
        <v>128</v>
      </c>
      <c r="F214" s="42" t="s">
        <v>41</v>
      </c>
      <c r="G214" s="42" t="s">
        <v>174</v>
      </c>
      <c r="H214" s="42" t="s">
        <v>13</v>
      </c>
      <c r="I214" s="42">
        <v>2</v>
      </c>
      <c r="J214" s="42" t="s">
        <v>43</v>
      </c>
      <c r="K214" s="43">
        <v>73.5</v>
      </c>
      <c r="L214" s="42">
        <v>990</v>
      </c>
      <c r="M214" s="42" t="s">
        <v>186</v>
      </c>
      <c r="N214" s="44">
        <f t="shared" si="9"/>
        <v>7.4242424242424249E-2</v>
      </c>
      <c r="O214" s="44">
        <f>+VLOOKUP(J214,TC!$B$6:$C$17,2,0)*PRECIOS!N214</f>
        <v>394.41232113428157</v>
      </c>
      <c r="P214" s="42" t="str">
        <f t="shared" si="10"/>
        <v>Si</v>
      </c>
      <c r="Q214" s="44">
        <f>+IF(I214=1,O214,IF(I214=2,O214/(1+MRI!$C$18),(O214/(1+MRI!$D$18))/(1+MRI!$C$18)))</f>
        <v>359.96707201332634</v>
      </c>
      <c r="R214" s="44">
        <f t="shared" si="11"/>
        <v>359.96707201332634</v>
      </c>
    </row>
    <row r="215" spans="1:18" x14ac:dyDescent="0.3">
      <c r="A215" s="55">
        <v>214</v>
      </c>
      <c r="B215" s="55" t="s">
        <v>7</v>
      </c>
      <c r="C215" s="55" t="s">
        <v>240</v>
      </c>
      <c r="D215" s="55" t="s">
        <v>180</v>
      </c>
      <c r="E215" s="55" t="s">
        <v>33</v>
      </c>
      <c r="F215" s="55" t="s">
        <v>41</v>
      </c>
      <c r="G215" s="55" t="s">
        <v>174</v>
      </c>
      <c r="H215" s="55" t="s">
        <v>13</v>
      </c>
      <c r="I215" s="55">
        <v>2</v>
      </c>
      <c r="J215" s="55" t="s">
        <v>43</v>
      </c>
      <c r="K215" s="56">
        <v>147</v>
      </c>
      <c r="L215" s="55">
        <v>1980</v>
      </c>
      <c r="M215" s="55" t="s">
        <v>186</v>
      </c>
      <c r="N215" s="57">
        <f t="shared" si="9"/>
        <v>7.4242424242424249E-2</v>
      </c>
      <c r="O215" s="57">
        <f>+VLOOKUP(J215,TC!$B$6:$C$17,2,0)*PRECIOS!N215</f>
        <v>394.41232113428157</v>
      </c>
      <c r="P215" s="55" t="str">
        <f t="shared" si="10"/>
        <v>Si</v>
      </c>
      <c r="Q215" s="57">
        <f>+IF(I215=1,O215,IF(I215=2,O215/(1+MRI!$C$18),(O215/(1+MRI!$D$18))/(1+MRI!$C$18)))</f>
        <v>359.96707201332634</v>
      </c>
      <c r="R215" s="57">
        <f t="shared" si="11"/>
        <v>359.96707201332634</v>
      </c>
    </row>
    <row r="216" spans="1:18" x14ac:dyDescent="0.3">
      <c r="A216" s="42">
        <v>215</v>
      </c>
      <c r="B216" s="42" t="s">
        <v>7</v>
      </c>
      <c r="C216" s="42" t="s">
        <v>241</v>
      </c>
      <c r="D216" s="42" t="s">
        <v>180</v>
      </c>
      <c r="E216" s="42" t="s">
        <v>126</v>
      </c>
      <c r="F216" s="42" t="s">
        <v>98</v>
      </c>
      <c r="G216" s="42" t="s">
        <v>206</v>
      </c>
      <c r="H216" s="42" t="s">
        <v>11</v>
      </c>
      <c r="I216" s="42">
        <v>1</v>
      </c>
      <c r="J216" s="42" t="s">
        <v>40</v>
      </c>
      <c r="K216" s="43">
        <v>55.5</v>
      </c>
      <c r="L216" s="42">
        <v>1000</v>
      </c>
      <c r="M216" s="42" t="s">
        <v>186</v>
      </c>
      <c r="N216" s="44">
        <f t="shared" si="9"/>
        <v>5.5500000000000001E-2</v>
      </c>
      <c r="O216" s="44">
        <f>+VLOOKUP(J216,TC!$B$6:$C$17,2,0)*PRECIOS!N216</f>
        <v>253.99025592465097</v>
      </c>
      <c r="P216" s="42" t="str">
        <f t="shared" si="10"/>
        <v>Si</v>
      </c>
      <c r="Q216" s="44">
        <f>+IF(I216=1,O216,IF(I216=2,O216/(1+MRI!$C$18),(O216/(1+MRI!$D$18))/(1+MRI!$C$18)))</f>
        <v>253.99025592465097</v>
      </c>
      <c r="R216" s="44">
        <f t="shared" si="11"/>
        <v>253.99025592465097</v>
      </c>
    </row>
    <row r="217" spans="1:18" x14ac:dyDescent="0.3">
      <c r="A217" s="55">
        <v>216</v>
      </c>
      <c r="B217" s="55" t="s">
        <v>7</v>
      </c>
      <c r="C217" s="55" t="s">
        <v>241</v>
      </c>
      <c r="D217" s="55" t="s">
        <v>180</v>
      </c>
      <c r="E217" s="55" t="s">
        <v>26</v>
      </c>
      <c r="F217" s="55" t="s">
        <v>98</v>
      </c>
      <c r="G217" s="55" t="s">
        <v>206</v>
      </c>
      <c r="H217" s="55" t="s">
        <v>11</v>
      </c>
      <c r="I217" s="55">
        <v>1</v>
      </c>
      <c r="J217" s="55" t="s">
        <v>40</v>
      </c>
      <c r="K217" s="56">
        <v>111</v>
      </c>
      <c r="L217" s="55">
        <v>2000</v>
      </c>
      <c r="M217" s="55" t="s">
        <v>186</v>
      </c>
      <c r="N217" s="57">
        <f t="shared" si="9"/>
        <v>5.5500000000000001E-2</v>
      </c>
      <c r="O217" s="57">
        <f>+VLOOKUP(J217,TC!$B$6:$C$17,2,0)*PRECIOS!N217</f>
        <v>253.99025592465097</v>
      </c>
      <c r="P217" s="55" t="str">
        <f t="shared" si="10"/>
        <v>Si</v>
      </c>
      <c r="Q217" s="57">
        <f>+IF(I217=1,O217,IF(I217=2,O217/(1+MRI!$C$18),(O217/(1+MRI!$D$18))/(1+MRI!$C$18)))</f>
        <v>253.99025592465097</v>
      </c>
      <c r="R217" s="57">
        <f t="shared" si="11"/>
        <v>253.99025592465097</v>
      </c>
    </row>
    <row r="218" spans="1:18" x14ac:dyDescent="0.3">
      <c r="A218" s="42">
        <v>217</v>
      </c>
      <c r="B218" s="42" t="s">
        <v>7</v>
      </c>
      <c r="C218" s="42" t="s">
        <v>241</v>
      </c>
      <c r="D218" s="42" t="s">
        <v>180</v>
      </c>
      <c r="E218" s="42" t="s">
        <v>127</v>
      </c>
      <c r="F218" s="42" t="s">
        <v>98</v>
      </c>
      <c r="G218" s="42" t="s">
        <v>206</v>
      </c>
      <c r="H218" s="42" t="s">
        <v>11</v>
      </c>
      <c r="I218" s="42">
        <v>1</v>
      </c>
      <c r="J218" s="42" t="s">
        <v>40</v>
      </c>
      <c r="K218" s="43">
        <v>222</v>
      </c>
      <c r="L218" s="42">
        <v>4000</v>
      </c>
      <c r="M218" s="42" t="s">
        <v>186</v>
      </c>
      <c r="N218" s="44">
        <f t="shared" si="9"/>
        <v>5.5500000000000001E-2</v>
      </c>
      <c r="O218" s="44">
        <f>+VLOOKUP(J218,TC!$B$6:$C$17,2,0)*PRECIOS!N218</f>
        <v>253.99025592465097</v>
      </c>
      <c r="P218" s="42" t="str">
        <f t="shared" si="10"/>
        <v>Si</v>
      </c>
      <c r="Q218" s="44">
        <f>+IF(I218=1,O218,IF(I218=2,O218/(1+MRI!$C$18),(O218/(1+MRI!$D$18))/(1+MRI!$C$18)))</f>
        <v>253.99025592465097</v>
      </c>
      <c r="R218" s="44">
        <f t="shared" si="11"/>
        <v>253.99025592465097</v>
      </c>
    </row>
    <row r="219" spans="1:18" x14ac:dyDescent="0.3">
      <c r="A219" s="55">
        <v>218</v>
      </c>
      <c r="B219" s="55" t="s">
        <v>27</v>
      </c>
      <c r="C219" s="55" t="s">
        <v>225</v>
      </c>
      <c r="D219" s="55" t="s">
        <v>181</v>
      </c>
      <c r="E219" s="55" t="s">
        <v>29</v>
      </c>
      <c r="F219" s="55" t="s">
        <v>9</v>
      </c>
      <c r="G219" s="55" t="s">
        <v>10</v>
      </c>
      <c r="H219" s="55" t="s">
        <v>20</v>
      </c>
      <c r="I219" s="55">
        <v>3</v>
      </c>
      <c r="J219" s="55" t="s">
        <v>12</v>
      </c>
      <c r="K219" s="56">
        <v>4877.75</v>
      </c>
      <c r="L219" s="55">
        <v>10000</v>
      </c>
      <c r="M219" s="55" t="s">
        <v>186</v>
      </c>
      <c r="N219" s="57">
        <f t="shared" si="9"/>
        <v>0.48777500000000001</v>
      </c>
      <c r="O219" s="57">
        <f>+VLOOKUP(J219,TC!$B$6:$C$17,2,0)*PRECIOS!N219</f>
        <v>411.13068172294652</v>
      </c>
      <c r="P219" s="55" t="str">
        <f t="shared" si="10"/>
        <v>No</v>
      </c>
      <c r="Q219" s="57">
        <f>+IF(I219=1,O219,IF(I219=2,O219/(1+MRI!$C$18),(O219/(1+MRI!$D$18))/(1+MRI!$C$18)))</f>
        <v>314.29692458963916</v>
      </c>
      <c r="R219" s="57" t="str">
        <f t="shared" si="11"/>
        <v/>
      </c>
    </row>
    <row r="220" spans="1:18" x14ac:dyDescent="0.3">
      <c r="A220" s="42">
        <v>219</v>
      </c>
      <c r="B220" s="42" t="s">
        <v>27</v>
      </c>
      <c r="C220" s="42" t="s">
        <v>225</v>
      </c>
      <c r="D220" s="42" t="s">
        <v>181</v>
      </c>
      <c r="E220" s="42" t="s">
        <v>29</v>
      </c>
      <c r="F220" s="42" t="s">
        <v>9</v>
      </c>
      <c r="G220" s="42" t="s">
        <v>10</v>
      </c>
      <c r="H220" s="42" t="s">
        <v>11</v>
      </c>
      <c r="I220" s="42">
        <v>1</v>
      </c>
      <c r="J220" s="42" t="s">
        <v>12</v>
      </c>
      <c r="K220" s="43">
        <v>3528.36</v>
      </c>
      <c r="L220" s="42">
        <v>10000</v>
      </c>
      <c r="M220" s="42" t="s">
        <v>186</v>
      </c>
      <c r="N220" s="44">
        <f t="shared" si="9"/>
        <v>0.35283600000000004</v>
      </c>
      <c r="O220" s="44">
        <f>+VLOOKUP(J220,TC!$B$6:$C$17,2,0)*PRECIOS!N220</f>
        <v>297.39471111967111</v>
      </c>
      <c r="P220" s="42" t="str">
        <f t="shared" si="10"/>
        <v>Si</v>
      </c>
      <c r="Q220" s="44">
        <f>+IF(I220=1,O220,IF(I220=2,O220/(1+MRI!$C$18),(O220/(1+MRI!$D$18))/(1+MRI!$C$18)))</f>
        <v>297.39471111967111</v>
      </c>
      <c r="R220" s="44">
        <f t="shared" si="11"/>
        <v>297.39471111967111</v>
      </c>
    </row>
    <row r="221" spans="1:18" x14ac:dyDescent="0.3">
      <c r="A221" s="55">
        <v>220</v>
      </c>
      <c r="B221" s="55" t="s">
        <v>27</v>
      </c>
      <c r="C221" s="55" t="s">
        <v>225</v>
      </c>
      <c r="D221" s="55" t="s">
        <v>181</v>
      </c>
      <c r="E221" s="55" t="s">
        <v>29</v>
      </c>
      <c r="F221" s="55" t="s">
        <v>9</v>
      </c>
      <c r="G221" s="55" t="s">
        <v>10</v>
      </c>
      <c r="H221" s="55" t="s">
        <v>13</v>
      </c>
      <c r="I221" s="55">
        <v>2</v>
      </c>
      <c r="J221" s="55" t="s">
        <v>12</v>
      </c>
      <c r="K221" s="56">
        <v>2768.7</v>
      </c>
      <c r="L221" s="55">
        <v>10000</v>
      </c>
      <c r="M221" s="55" t="s">
        <v>186</v>
      </c>
      <c r="N221" s="57">
        <f t="shared" si="9"/>
        <v>0.27687</v>
      </c>
      <c r="O221" s="57">
        <f>+VLOOKUP(J221,TC!$B$6:$C$17,2,0)*PRECIOS!N221</f>
        <v>233.36528491339698</v>
      </c>
      <c r="P221" s="55" t="str">
        <f t="shared" si="10"/>
        <v>No</v>
      </c>
      <c r="Q221" s="57">
        <f>+IF(I221=1,O221,IF(I221=2,O221/(1+MRI!$C$18),(O221/(1+MRI!$D$18))/(1+MRI!$C$18)))</f>
        <v>212.9847720736677</v>
      </c>
      <c r="R221" s="57" t="str">
        <f t="shared" si="11"/>
        <v/>
      </c>
    </row>
    <row r="222" spans="1:18" x14ac:dyDescent="0.3">
      <c r="A222" s="42">
        <v>221</v>
      </c>
      <c r="B222" s="42" t="s">
        <v>27</v>
      </c>
      <c r="C222" s="42" t="s">
        <v>225</v>
      </c>
      <c r="D222" s="42" t="s">
        <v>181</v>
      </c>
      <c r="E222" s="42" t="s">
        <v>30</v>
      </c>
      <c r="F222" s="42" t="s">
        <v>9</v>
      </c>
      <c r="G222" s="42" t="s">
        <v>10</v>
      </c>
      <c r="H222" s="42" t="s">
        <v>20</v>
      </c>
      <c r="I222" s="42">
        <v>3</v>
      </c>
      <c r="J222" s="42" t="s">
        <v>12</v>
      </c>
      <c r="K222" s="43">
        <v>9755.52</v>
      </c>
      <c r="L222" s="42">
        <v>20000</v>
      </c>
      <c r="M222" s="42" t="s">
        <v>186</v>
      </c>
      <c r="N222" s="44">
        <f t="shared" si="9"/>
        <v>0.48777600000000004</v>
      </c>
      <c r="O222" s="44">
        <f>+VLOOKUP(J222,TC!$B$6:$C$17,2,0)*PRECIOS!N222</f>
        <v>411.13152459246987</v>
      </c>
      <c r="P222" s="42" t="str">
        <f t="shared" si="10"/>
        <v>No</v>
      </c>
      <c r="Q222" s="44">
        <f>+IF(I222=1,O222,IF(I222=2,O222/(1+MRI!$C$18),(O222/(1+MRI!$D$18))/(1+MRI!$C$18)))</f>
        <v>314.29756893780092</v>
      </c>
      <c r="R222" s="44" t="str">
        <f t="shared" si="11"/>
        <v/>
      </c>
    </row>
    <row r="223" spans="1:18" x14ac:dyDescent="0.3">
      <c r="A223" s="55">
        <v>222</v>
      </c>
      <c r="B223" s="55" t="s">
        <v>27</v>
      </c>
      <c r="C223" s="55" t="s">
        <v>225</v>
      </c>
      <c r="D223" s="55" t="s">
        <v>181</v>
      </c>
      <c r="E223" s="55" t="s">
        <v>30</v>
      </c>
      <c r="F223" s="55" t="s">
        <v>9</v>
      </c>
      <c r="G223" s="55" t="s">
        <v>10</v>
      </c>
      <c r="H223" s="55" t="s">
        <v>11</v>
      </c>
      <c r="I223" s="55">
        <v>1</v>
      </c>
      <c r="J223" s="55" t="s">
        <v>12</v>
      </c>
      <c r="K223" s="56">
        <v>7056.73</v>
      </c>
      <c r="L223" s="55">
        <v>20000</v>
      </c>
      <c r="M223" s="55" t="s">
        <v>186</v>
      </c>
      <c r="N223" s="57">
        <f t="shared" si="9"/>
        <v>0.3528365</v>
      </c>
      <c r="O223" s="57">
        <f>+VLOOKUP(J223,TC!$B$6:$C$17,2,0)*PRECIOS!N223</f>
        <v>297.39513255443273</v>
      </c>
      <c r="P223" s="55" t="str">
        <f t="shared" si="10"/>
        <v>Si</v>
      </c>
      <c r="Q223" s="57">
        <f>+IF(I223=1,O223,IF(I223=2,O223/(1+MRI!$C$18),(O223/(1+MRI!$D$18))/(1+MRI!$C$18)))</f>
        <v>297.39513255443273</v>
      </c>
      <c r="R223" s="57">
        <f t="shared" si="11"/>
        <v>297.39513255443273</v>
      </c>
    </row>
    <row r="224" spans="1:18" x14ac:dyDescent="0.3">
      <c r="A224" s="42">
        <v>223</v>
      </c>
      <c r="B224" s="42" t="s">
        <v>27</v>
      </c>
      <c r="C224" s="42" t="s">
        <v>225</v>
      </c>
      <c r="D224" s="42" t="s">
        <v>181</v>
      </c>
      <c r="E224" s="42" t="s">
        <v>30</v>
      </c>
      <c r="F224" s="42" t="s">
        <v>9</v>
      </c>
      <c r="G224" s="42" t="s">
        <v>10</v>
      </c>
      <c r="H224" s="42" t="s">
        <v>13</v>
      </c>
      <c r="I224" s="42">
        <v>2</v>
      </c>
      <c r="J224" s="42" t="s">
        <v>12</v>
      </c>
      <c r="K224" s="43">
        <v>5537.42</v>
      </c>
      <c r="L224" s="42">
        <v>20000</v>
      </c>
      <c r="M224" s="42" t="s">
        <v>186</v>
      </c>
      <c r="N224" s="44">
        <f t="shared" si="9"/>
        <v>0.27687099999999998</v>
      </c>
      <c r="O224" s="44">
        <f>+VLOOKUP(J224,TC!$B$6:$C$17,2,0)*PRECIOS!N224</f>
        <v>233.36612778292024</v>
      </c>
      <c r="P224" s="42" t="str">
        <f t="shared" si="10"/>
        <v>No</v>
      </c>
      <c r="Q224" s="44">
        <f>+IF(I224=1,O224,IF(I224=2,O224/(1+MRI!$C$18),(O224/(1+MRI!$D$18))/(1+MRI!$C$18)))</f>
        <v>212.98554133278594</v>
      </c>
      <c r="R224" s="44" t="str">
        <f t="shared" si="11"/>
        <v/>
      </c>
    </row>
    <row r="225" spans="1:18" x14ac:dyDescent="0.3">
      <c r="A225" s="55">
        <v>224</v>
      </c>
      <c r="B225" s="55" t="s">
        <v>27</v>
      </c>
      <c r="C225" s="55" t="s">
        <v>225</v>
      </c>
      <c r="D225" s="55" t="s">
        <v>181</v>
      </c>
      <c r="E225" s="55" t="s">
        <v>130</v>
      </c>
      <c r="F225" s="55" t="s">
        <v>9</v>
      </c>
      <c r="G225" s="55" t="s">
        <v>10</v>
      </c>
      <c r="H225" s="55" t="s">
        <v>20</v>
      </c>
      <c r="I225" s="55">
        <v>3</v>
      </c>
      <c r="J225" s="55" t="s">
        <v>12</v>
      </c>
      <c r="K225" s="56">
        <v>14633.25</v>
      </c>
      <c r="L225" s="55">
        <v>30000</v>
      </c>
      <c r="M225" s="55" t="s">
        <v>186</v>
      </c>
      <c r="N225" s="57">
        <f t="shared" si="9"/>
        <v>0.48777500000000001</v>
      </c>
      <c r="O225" s="57">
        <f>+VLOOKUP(J225,TC!$B$6:$C$17,2,0)*PRECIOS!N225</f>
        <v>411.13068172294652</v>
      </c>
      <c r="P225" s="55" t="str">
        <f t="shared" si="10"/>
        <v>No</v>
      </c>
      <c r="Q225" s="57">
        <f>+IF(I225=1,O225,IF(I225=2,O225/(1+MRI!$C$18),(O225/(1+MRI!$D$18))/(1+MRI!$C$18)))</f>
        <v>314.29692458963916</v>
      </c>
      <c r="R225" s="57" t="str">
        <f t="shared" si="11"/>
        <v/>
      </c>
    </row>
    <row r="226" spans="1:18" x14ac:dyDescent="0.3">
      <c r="A226" s="42">
        <v>225</v>
      </c>
      <c r="B226" s="42" t="s">
        <v>27</v>
      </c>
      <c r="C226" s="42" t="s">
        <v>225</v>
      </c>
      <c r="D226" s="42" t="s">
        <v>181</v>
      </c>
      <c r="E226" s="42" t="s">
        <v>130</v>
      </c>
      <c r="F226" s="42" t="s">
        <v>9</v>
      </c>
      <c r="G226" s="42" t="s">
        <v>10</v>
      </c>
      <c r="H226" s="42" t="s">
        <v>11</v>
      </c>
      <c r="I226" s="42">
        <v>1</v>
      </c>
      <c r="J226" s="42" t="s">
        <v>12</v>
      </c>
      <c r="K226" s="43">
        <v>10585.08</v>
      </c>
      <c r="L226" s="42">
        <v>30000</v>
      </c>
      <c r="M226" s="42" t="s">
        <v>186</v>
      </c>
      <c r="N226" s="44">
        <f t="shared" si="9"/>
        <v>0.35283599999999998</v>
      </c>
      <c r="O226" s="44">
        <f>+VLOOKUP(J226,TC!$B$6:$C$17,2,0)*PRECIOS!N226</f>
        <v>297.39471111967106</v>
      </c>
      <c r="P226" s="42" t="str">
        <f t="shared" si="10"/>
        <v>Si</v>
      </c>
      <c r="Q226" s="44">
        <f>+IF(I226=1,O226,IF(I226=2,O226/(1+MRI!$C$18),(O226/(1+MRI!$D$18))/(1+MRI!$C$18)))</f>
        <v>297.39471111967106</v>
      </c>
      <c r="R226" s="44">
        <f t="shared" si="11"/>
        <v>297.39471111967106</v>
      </c>
    </row>
    <row r="227" spans="1:18" x14ac:dyDescent="0.3">
      <c r="A227" s="55">
        <v>226</v>
      </c>
      <c r="B227" s="55" t="s">
        <v>27</v>
      </c>
      <c r="C227" s="55" t="s">
        <v>225</v>
      </c>
      <c r="D227" s="55" t="s">
        <v>181</v>
      </c>
      <c r="E227" s="55" t="s">
        <v>130</v>
      </c>
      <c r="F227" s="55" t="s">
        <v>9</v>
      </c>
      <c r="G227" s="55" t="s">
        <v>10</v>
      </c>
      <c r="H227" s="55" t="s">
        <v>13</v>
      </c>
      <c r="I227" s="55">
        <v>2</v>
      </c>
      <c r="J227" s="55" t="s">
        <v>12</v>
      </c>
      <c r="K227" s="56">
        <v>8306.11</v>
      </c>
      <c r="L227" s="55">
        <v>30000</v>
      </c>
      <c r="M227" s="55" t="s">
        <v>186</v>
      </c>
      <c r="N227" s="57">
        <f t="shared" si="9"/>
        <v>0.27687033333333333</v>
      </c>
      <c r="O227" s="57">
        <f>+VLOOKUP(J227,TC!$B$6:$C$17,2,0)*PRECIOS!N227</f>
        <v>233.36556586990474</v>
      </c>
      <c r="P227" s="55" t="str">
        <f t="shared" si="10"/>
        <v>No</v>
      </c>
      <c r="Q227" s="57">
        <f>+IF(I227=1,O227,IF(I227=2,O227/(1+MRI!$C$18),(O227/(1+MRI!$D$18))/(1+MRI!$C$18)))</f>
        <v>212.98502849337379</v>
      </c>
      <c r="R227" s="57" t="str">
        <f t="shared" si="11"/>
        <v/>
      </c>
    </row>
    <row r="228" spans="1:18" x14ac:dyDescent="0.3">
      <c r="A228" s="42">
        <v>227</v>
      </c>
      <c r="B228" s="42" t="s">
        <v>27</v>
      </c>
      <c r="C228" s="42" t="s">
        <v>225</v>
      </c>
      <c r="D228" s="42" t="s">
        <v>181</v>
      </c>
      <c r="E228" s="42" t="s">
        <v>28</v>
      </c>
      <c r="F228" s="42" t="s">
        <v>9</v>
      </c>
      <c r="G228" s="42" t="s">
        <v>10</v>
      </c>
      <c r="H228" s="42" t="s">
        <v>20</v>
      </c>
      <c r="I228" s="42">
        <v>3</v>
      </c>
      <c r="J228" s="42" t="s">
        <v>12</v>
      </c>
      <c r="K228" s="43">
        <v>3746.42</v>
      </c>
      <c r="L228" s="42">
        <v>5000</v>
      </c>
      <c r="M228" s="42" t="s">
        <v>186</v>
      </c>
      <c r="N228" s="44">
        <f t="shared" si="9"/>
        <v>0.74928400000000006</v>
      </c>
      <c r="O228" s="44">
        <f>+VLOOKUP(J228,TC!$B$6:$C$17,2,0)*PRECIOS!N228</f>
        <v>631.5486478890806</v>
      </c>
      <c r="P228" s="42" t="str">
        <f t="shared" si="10"/>
        <v>No</v>
      </c>
      <c r="Q228" s="44">
        <f>+IF(I228=1,O228,IF(I228=2,O228/(1+MRI!$C$18),(O228/(1+MRI!$D$18))/(1+MRI!$C$18)))</f>
        <v>482.79976801644858</v>
      </c>
      <c r="R228" s="44" t="str">
        <f t="shared" si="11"/>
        <v/>
      </c>
    </row>
    <row r="229" spans="1:18" x14ac:dyDescent="0.3">
      <c r="A229" s="55">
        <v>228</v>
      </c>
      <c r="B229" s="55" t="s">
        <v>27</v>
      </c>
      <c r="C229" s="55" t="s">
        <v>225</v>
      </c>
      <c r="D229" s="55" t="s">
        <v>181</v>
      </c>
      <c r="E229" s="55" t="s">
        <v>28</v>
      </c>
      <c r="F229" s="55" t="s">
        <v>9</v>
      </c>
      <c r="G229" s="55" t="s">
        <v>10</v>
      </c>
      <c r="H229" s="55" t="s">
        <v>11</v>
      </c>
      <c r="I229" s="55">
        <v>1</v>
      </c>
      <c r="J229" s="55" t="s">
        <v>12</v>
      </c>
      <c r="K229" s="56">
        <v>2710</v>
      </c>
      <c r="L229" s="55">
        <v>5000</v>
      </c>
      <c r="M229" s="55" t="s">
        <v>186</v>
      </c>
      <c r="N229" s="57">
        <f t="shared" si="9"/>
        <v>0.54200000000000004</v>
      </c>
      <c r="O229" s="57">
        <f>+VLOOKUP(J229,TC!$B$6:$C$17,2,0)*PRECIOS!N229</f>
        <v>456.83528162336535</v>
      </c>
      <c r="P229" s="55" t="str">
        <f t="shared" si="10"/>
        <v>Si</v>
      </c>
      <c r="Q229" s="57">
        <f>+IF(I229=1,O229,IF(I229=2,O229/(1+MRI!$C$18),(O229/(1+MRI!$D$18))/(1+MRI!$C$18)))</f>
        <v>456.83528162336535</v>
      </c>
      <c r="R229" s="57">
        <f t="shared" si="11"/>
        <v>456.83528162336535</v>
      </c>
    </row>
    <row r="230" spans="1:18" x14ac:dyDescent="0.3">
      <c r="A230" s="42">
        <v>229</v>
      </c>
      <c r="B230" s="42" t="s">
        <v>27</v>
      </c>
      <c r="C230" s="42" t="s">
        <v>225</v>
      </c>
      <c r="D230" s="42" t="s">
        <v>181</v>
      </c>
      <c r="E230" s="42" t="s">
        <v>28</v>
      </c>
      <c r="F230" s="42" t="s">
        <v>9</v>
      </c>
      <c r="G230" s="42" t="s">
        <v>10</v>
      </c>
      <c r="H230" s="42" t="s">
        <v>13</v>
      </c>
      <c r="I230" s="42">
        <v>2</v>
      </c>
      <c r="J230" s="42" t="s">
        <v>12</v>
      </c>
      <c r="K230" s="43">
        <v>2126.54</v>
      </c>
      <c r="L230" s="42">
        <v>5000</v>
      </c>
      <c r="M230" s="42" t="s">
        <v>186</v>
      </c>
      <c r="N230" s="44">
        <f t="shared" si="9"/>
        <v>0.42530800000000002</v>
      </c>
      <c r="O230" s="44">
        <f>+VLOOKUP(J230,TC!$B$6:$C$17,2,0)*PRECIOS!N230</f>
        <v>358.47915121156876</v>
      </c>
      <c r="P230" s="42" t="str">
        <f t="shared" si="10"/>
        <v>No</v>
      </c>
      <c r="Q230" s="44">
        <f>+IF(I230=1,O230,IF(I230=2,O230/(1+MRI!$C$18),(O230/(1+MRI!$D$18))/(1+MRI!$C$18)))</f>
        <v>327.17205707049322</v>
      </c>
      <c r="R230" s="44" t="str">
        <f t="shared" si="11"/>
        <v/>
      </c>
    </row>
    <row r="231" spans="1:18" x14ac:dyDescent="0.3">
      <c r="A231" s="55">
        <v>230</v>
      </c>
      <c r="B231" s="55" t="s">
        <v>27</v>
      </c>
      <c r="C231" s="55" t="s">
        <v>226</v>
      </c>
      <c r="D231" s="55" t="s">
        <v>181</v>
      </c>
      <c r="E231" s="55" t="s">
        <v>29</v>
      </c>
      <c r="F231" s="55" t="s">
        <v>23</v>
      </c>
      <c r="G231" s="55" t="s">
        <v>24</v>
      </c>
      <c r="H231" s="55" t="s">
        <v>13</v>
      </c>
      <c r="I231" s="55">
        <v>2</v>
      </c>
      <c r="J231" s="55" t="s">
        <v>25</v>
      </c>
      <c r="K231" s="56">
        <v>1646.79</v>
      </c>
      <c r="L231" s="55">
        <v>10000</v>
      </c>
      <c r="M231" s="55" t="s">
        <v>186</v>
      </c>
      <c r="N231" s="57">
        <f t="shared" si="9"/>
        <v>0.16467899999999999</v>
      </c>
      <c r="O231" s="57">
        <f>+VLOOKUP(J231,TC!$B$6:$C$17,2,0)*PRECIOS!N231</f>
        <v>706.74138440084039</v>
      </c>
      <c r="P231" s="55" t="str">
        <f t="shared" si="10"/>
        <v>Si</v>
      </c>
      <c r="Q231" s="57">
        <f>+IF(I231=1,O231,IF(I231=2,O231/(1+MRI!$C$18),(O231/(1+MRI!$D$18))/(1+MRI!$C$18)))</f>
        <v>645.01947120156285</v>
      </c>
      <c r="R231" s="57">
        <f t="shared" si="11"/>
        <v>645.01947120156285</v>
      </c>
    </row>
    <row r="232" spans="1:18" x14ac:dyDescent="0.3">
      <c r="A232" s="42">
        <v>231</v>
      </c>
      <c r="B232" s="42" t="s">
        <v>27</v>
      </c>
      <c r="C232" s="42" t="s">
        <v>226</v>
      </c>
      <c r="D232" s="42" t="s">
        <v>181</v>
      </c>
      <c r="E232" s="42" t="s">
        <v>30</v>
      </c>
      <c r="F232" s="42" t="s">
        <v>23</v>
      </c>
      <c r="G232" s="42" t="s">
        <v>24</v>
      </c>
      <c r="H232" s="42" t="s">
        <v>13</v>
      </c>
      <c r="I232" s="42">
        <v>2</v>
      </c>
      <c r="J232" s="42" t="s">
        <v>25</v>
      </c>
      <c r="K232" s="43">
        <v>3293.58</v>
      </c>
      <c r="L232" s="42">
        <v>20000</v>
      </c>
      <c r="M232" s="42" t="s">
        <v>186</v>
      </c>
      <c r="N232" s="44">
        <f t="shared" si="9"/>
        <v>0.16467899999999999</v>
      </c>
      <c r="O232" s="44">
        <f>+VLOOKUP(J232,TC!$B$6:$C$17,2,0)*PRECIOS!N232</f>
        <v>706.74138440084039</v>
      </c>
      <c r="P232" s="42" t="str">
        <f t="shared" si="10"/>
        <v>Si</v>
      </c>
      <c r="Q232" s="44">
        <f>+IF(I232=1,O232,IF(I232=2,O232/(1+MRI!$C$18),(O232/(1+MRI!$D$18))/(1+MRI!$C$18)))</f>
        <v>645.01947120156285</v>
      </c>
      <c r="R232" s="44">
        <f t="shared" si="11"/>
        <v>645.01947120156285</v>
      </c>
    </row>
    <row r="233" spans="1:18" x14ac:dyDescent="0.3">
      <c r="A233" s="55">
        <v>232</v>
      </c>
      <c r="B233" s="55" t="s">
        <v>27</v>
      </c>
      <c r="C233" s="55" t="s">
        <v>226</v>
      </c>
      <c r="D233" s="55" t="s">
        <v>181</v>
      </c>
      <c r="E233" s="55" t="s">
        <v>130</v>
      </c>
      <c r="F233" s="55" t="s">
        <v>23</v>
      </c>
      <c r="G233" s="55" t="s">
        <v>24</v>
      </c>
      <c r="H233" s="55" t="s">
        <v>13</v>
      </c>
      <c r="I233" s="55">
        <v>2</v>
      </c>
      <c r="J233" s="55" t="s">
        <v>25</v>
      </c>
      <c r="K233" s="56">
        <v>4774.2700000000004</v>
      </c>
      <c r="L233" s="55">
        <v>30000</v>
      </c>
      <c r="M233" s="55" t="s">
        <v>186</v>
      </c>
      <c r="N233" s="57">
        <f t="shared" si="9"/>
        <v>0.15914233333333336</v>
      </c>
      <c r="O233" s="57">
        <f>+VLOOKUP(J233,TC!$B$6:$C$17,2,0)*PRECIOS!N233</f>
        <v>682.9800580327792</v>
      </c>
      <c r="P233" s="55" t="str">
        <f t="shared" si="10"/>
        <v>Si</v>
      </c>
      <c r="Q233" s="57">
        <f>+IF(I233=1,O233,IF(I233=2,O233/(1+MRI!$C$18),(O233/(1+MRI!$D$18))/(1+MRI!$C$18)))</f>
        <v>623.3332950312398</v>
      </c>
      <c r="R233" s="57">
        <f t="shared" si="11"/>
        <v>623.3332950312398</v>
      </c>
    </row>
    <row r="234" spans="1:18" x14ac:dyDescent="0.3">
      <c r="A234" s="42">
        <v>233</v>
      </c>
      <c r="B234" s="42" t="s">
        <v>27</v>
      </c>
      <c r="C234" s="42" t="s">
        <v>226</v>
      </c>
      <c r="D234" s="42" t="s">
        <v>181</v>
      </c>
      <c r="E234" s="42" t="s">
        <v>28</v>
      </c>
      <c r="F234" s="42" t="s">
        <v>23</v>
      </c>
      <c r="G234" s="42" t="s">
        <v>24</v>
      </c>
      <c r="H234" s="42" t="s">
        <v>13</v>
      </c>
      <c r="I234" s="42">
        <v>2</v>
      </c>
      <c r="J234" s="42" t="s">
        <v>25</v>
      </c>
      <c r="K234" s="43">
        <v>823.4</v>
      </c>
      <c r="L234" s="42">
        <v>5000</v>
      </c>
      <c r="M234" s="42" t="s">
        <v>186</v>
      </c>
      <c r="N234" s="44">
        <f t="shared" si="9"/>
        <v>0.16467999999999999</v>
      </c>
      <c r="O234" s="44">
        <f>+VLOOKUP(J234,TC!$B$6:$C$17,2,0)*PRECIOS!N234</f>
        <v>706.74567603112962</v>
      </c>
      <c r="P234" s="42" t="str">
        <f t="shared" si="10"/>
        <v>Si</v>
      </c>
      <c r="Q234" s="44">
        <f>+IF(I234=1,O234,IF(I234=2,O234/(1+MRI!$C$18),(O234/(1+MRI!$D$18))/(1+MRI!$C$18)))</f>
        <v>645.02338803049179</v>
      </c>
      <c r="R234" s="44">
        <f t="shared" si="11"/>
        <v>645.02338803049179</v>
      </c>
    </row>
    <row r="235" spans="1:18" x14ac:dyDescent="0.3">
      <c r="A235" s="55">
        <v>234</v>
      </c>
      <c r="B235" s="55" t="s">
        <v>27</v>
      </c>
      <c r="C235" s="55" t="s">
        <v>227</v>
      </c>
      <c r="D235" s="55" t="s">
        <v>181</v>
      </c>
      <c r="E235" s="55" t="s">
        <v>29</v>
      </c>
      <c r="F235" s="55" t="s">
        <v>141</v>
      </c>
      <c r="G235" s="55" t="s">
        <v>176</v>
      </c>
      <c r="H235" s="55" t="s">
        <v>20</v>
      </c>
      <c r="I235" s="55">
        <v>3</v>
      </c>
      <c r="J235" s="55" t="s">
        <v>40</v>
      </c>
      <c r="K235" s="56">
        <v>735.65</v>
      </c>
      <c r="L235" s="55">
        <v>10000</v>
      </c>
      <c r="M235" s="55" t="s">
        <v>186</v>
      </c>
      <c r="N235" s="57">
        <f t="shared" si="9"/>
        <v>7.3564999999999992E-2</v>
      </c>
      <c r="O235" s="57">
        <f>+VLOOKUP(J235,TC!$B$6:$C$17,2,0)*PRECIOS!N235</f>
        <v>336.6629401278729</v>
      </c>
      <c r="P235" s="55" t="str">
        <f t="shared" si="10"/>
        <v>No</v>
      </c>
      <c r="Q235" s="57">
        <f>+IF(I235=1,O235,IF(I235=2,O235/(1+MRI!$C$18),(O235/(1+MRI!$D$18))/(1+MRI!$C$18)))</f>
        <v>257.36859691926645</v>
      </c>
      <c r="R235" s="57" t="str">
        <f t="shared" si="11"/>
        <v/>
      </c>
    </row>
    <row r="236" spans="1:18" x14ac:dyDescent="0.3">
      <c r="A236" s="42">
        <v>235</v>
      </c>
      <c r="B236" s="42" t="s">
        <v>27</v>
      </c>
      <c r="C236" s="42" t="s">
        <v>227</v>
      </c>
      <c r="D236" s="42" t="s">
        <v>181</v>
      </c>
      <c r="E236" s="42" t="s">
        <v>29</v>
      </c>
      <c r="F236" s="42" t="s">
        <v>141</v>
      </c>
      <c r="G236" s="42" t="s">
        <v>176</v>
      </c>
      <c r="H236" s="42" t="s">
        <v>11</v>
      </c>
      <c r="I236" s="42">
        <v>1</v>
      </c>
      <c r="J236" s="42" t="s">
        <v>40</v>
      </c>
      <c r="K236" s="43">
        <v>639.02</v>
      </c>
      <c r="L236" s="42">
        <v>10000</v>
      </c>
      <c r="M236" s="42" t="s">
        <v>186</v>
      </c>
      <c r="N236" s="44">
        <f t="shared" si="9"/>
        <v>6.3902E-2</v>
      </c>
      <c r="O236" s="44">
        <f>+VLOOKUP(J236,TC!$B$6:$C$17,2,0)*PRECIOS!N236</f>
        <v>292.44117719093776</v>
      </c>
      <c r="P236" s="42" t="str">
        <f t="shared" si="10"/>
        <v>Si</v>
      </c>
      <c r="Q236" s="44">
        <f>+IF(I236=1,O236,IF(I236=2,O236/(1+MRI!$C$18),(O236/(1+MRI!$D$18))/(1+MRI!$C$18)))</f>
        <v>292.44117719093776</v>
      </c>
      <c r="R236" s="44">
        <f t="shared" si="11"/>
        <v>292.44117719093776</v>
      </c>
    </row>
    <row r="237" spans="1:18" x14ac:dyDescent="0.3">
      <c r="A237" s="55">
        <v>236</v>
      </c>
      <c r="B237" s="55" t="s">
        <v>27</v>
      </c>
      <c r="C237" s="55" t="s">
        <v>227</v>
      </c>
      <c r="D237" s="55" t="s">
        <v>181</v>
      </c>
      <c r="E237" s="55" t="s">
        <v>29</v>
      </c>
      <c r="F237" s="55" t="s">
        <v>141</v>
      </c>
      <c r="G237" s="55" t="s">
        <v>176</v>
      </c>
      <c r="H237" s="55" t="s">
        <v>22</v>
      </c>
      <c r="I237" s="55">
        <v>2</v>
      </c>
      <c r="J237" s="55" t="s">
        <v>40</v>
      </c>
      <c r="K237" s="56">
        <v>648.62</v>
      </c>
      <c r="L237" s="55">
        <v>10000</v>
      </c>
      <c r="M237" s="55" t="s">
        <v>186</v>
      </c>
      <c r="N237" s="57">
        <f t="shared" si="9"/>
        <v>6.4862000000000003E-2</v>
      </c>
      <c r="O237" s="57">
        <f>+VLOOKUP(J237,TC!$B$6:$C$17,2,0)*PRECIOS!N237</f>
        <v>296.83452215828311</v>
      </c>
      <c r="P237" s="55" t="str">
        <f t="shared" si="10"/>
        <v>No</v>
      </c>
      <c r="Q237" s="57">
        <f>+IF(I237=1,O237,IF(I237=2,O237/(1+MRI!$C$18),(O237/(1+MRI!$D$18))/(1+MRI!$C$18)))</f>
        <v>270.91104432666458</v>
      </c>
      <c r="R237" s="57" t="str">
        <f t="shared" si="11"/>
        <v/>
      </c>
    </row>
    <row r="238" spans="1:18" x14ac:dyDescent="0.3">
      <c r="A238" s="42">
        <v>237</v>
      </c>
      <c r="B238" s="42" t="s">
        <v>27</v>
      </c>
      <c r="C238" s="42" t="s">
        <v>227</v>
      </c>
      <c r="D238" s="42" t="s">
        <v>181</v>
      </c>
      <c r="E238" s="42" t="s">
        <v>30</v>
      </c>
      <c r="F238" s="42" t="s">
        <v>141</v>
      </c>
      <c r="G238" s="42" t="s">
        <v>176</v>
      </c>
      <c r="H238" s="42" t="s">
        <v>20</v>
      </c>
      <c r="I238" s="42">
        <v>3</v>
      </c>
      <c r="J238" s="42" t="s">
        <v>40</v>
      </c>
      <c r="K238" s="43">
        <v>1433.48</v>
      </c>
      <c r="L238" s="42">
        <v>20000</v>
      </c>
      <c r="M238" s="42" t="s">
        <v>186</v>
      </c>
      <c r="N238" s="44">
        <f t="shared" si="9"/>
        <v>7.1674000000000002E-2</v>
      </c>
      <c r="O238" s="44">
        <f>+VLOOKUP(J238,TC!$B$6:$C$17,2,0)*PRECIOS!N238</f>
        <v>328.00896582240421</v>
      </c>
      <c r="P238" s="42" t="str">
        <f t="shared" si="10"/>
        <v>No</v>
      </c>
      <c r="Q238" s="44">
        <f>+IF(I238=1,O238,IF(I238=2,O238/(1+MRI!$C$18),(O238/(1+MRI!$D$18))/(1+MRI!$C$18)))</f>
        <v>250.75289629024007</v>
      </c>
      <c r="R238" s="44" t="str">
        <f t="shared" si="11"/>
        <v/>
      </c>
    </row>
    <row r="239" spans="1:18" x14ac:dyDescent="0.3">
      <c r="A239" s="55">
        <v>238</v>
      </c>
      <c r="B239" s="55" t="s">
        <v>27</v>
      </c>
      <c r="C239" s="55" t="s">
        <v>227</v>
      </c>
      <c r="D239" s="55" t="s">
        <v>181</v>
      </c>
      <c r="E239" s="55" t="s">
        <v>30</v>
      </c>
      <c r="F239" s="55" t="s">
        <v>141</v>
      </c>
      <c r="G239" s="55" t="s">
        <v>176</v>
      </c>
      <c r="H239" s="55" t="s">
        <v>11</v>
      </c>
      <c r="I239" s="55">
        <v>1</v>
      </c>
      <c r="J239" s="55" t="s">
        <v>40</v>
      </c>
      <c r="K239" s="56">
        <v>1278.04</v>
      </c>
      <c r="L239" s="55">
        <v>20000</v>
      </c>
      <c r="M239" s="55" t="s">
        <v>186</v>
      </c>
      <c r="N239" s="57">
        <f t="shared" si="9"/>
        <v>6.3902E-2</v>
      </c>
      <c r="O239" s="57">
        <f>+VLOOKUP(J239,TC!$B$6:$C$17,2,0)*PRECIOS!N239</f>
        <v>292.44117719093776</v>
      </c>
      <c r="P239" s="55" t="str">
        <f t="shared" si="10"/>
        <v>Si</v>
      </c>
      <c r="Q239" s="57">
        <f>+IF(I239=1,O239,IF(I239=2,O239/(1+MRI!$C$18),(O239/(1+MRI!$D$18))/(1+MRI!$C$18)))</f>
        <v>292.44117719093776</v>
      </c>
      <c r="R239" s="57">
        <f t="shared" si="11"/>
        <v>292.44117719093776</v>
      </c>
    </row>
    <row r="240" spans="1:18" x14ac:dyDescent="0.3">
      <c r="A240" s="42">
        <v>239</v>
      </c>
      <c r="B240" s="42" t="s">
        <v>27</v>
      </c>
      <c r="C240" s="42" t="s">
        <v>227</v>
      </c>
      <c r="D240" s="42" t="s">
        <v>181</v>
      </c>
      <c r="E240" s="42" t="s">
        <v>30</v>
      </c>
      <c r="F240" s="42" t="s">
        <v>141</v>
      </c>
      <c r="G240" s="42" t="s">
        <v>176</v>
      </c>
      <c r="H240" s="42" t="s">
        <v>22</v>
      </c>
      <c r="I240" s="42">
        <v>2</v>
      </c>
      <c r="J240" s="42" t="s">
        <v>40</v>
      </c>
      <c r="K240" s="43">
        <v>1297.24</v>
      </c>
      <c r="L240" s="42">
        <v>20000</v>
      </c>
      <c r="M240" s="42" t="s">
        <v>186</v>
      </c>
      <c r="N240" s="44">
        <f t="shared" si="9"/>
        <v>6.4862000000000003E-2</v>
      </c>
      <c r="O240" s="44">
        <f>+VLOOKUP(J240,TC!$B$6:$C$17,2,0)*PRECIOS!N240</f>
        <v>296.83452215828311</v>
      </c>
      <c r="P240" s="42" t="str">
        <f t="shared" si="10"/>
        <v>No</v>
      </c>
      <c r="Q240" s="44">
        <f>+IF(I240=1,O240,IF(I240=2,O240/(1+MRI!$C$18),(O240/(1+MRI!$D$18))/(1+MRI!$C$18)))</f>
        <v>270.91104432666458</v>
      </c>
      <c r="R240" s="44" t="str">
        <f t="shared" si="11"/>
        <v/>
      </c>
    </row>
    <row r="241" spans="1:18" x14ac:dyDescent="0.3">
      <c r="A241" s="55">
        <v>240</v>
      </c>
      <c r="B241" s="55" t="s">
        <v>27</v>
      </c>
      <c r="C241" s="55" t="s">
        <v>227</v>
      </c>
      <c r="D241" s="55" t="s">
        <v>181</v>
      </c>
      <c r="E241" s="55" t="s">
        <v>130</v>
      </c>
      <c r="F241" s="55" t="s">
        <v>141</v>
      </c>
      <c r="G241" s="55" t="s">
        <v>176</v>
      </c>
      <c r="H241" s="55" t="s">
        <v>20</v>
      </c>
      <c r="I241" s="55">
        <v>3</v>
      </c>
      <c r="J241" s="55" t="s">
        <v>40</v>
      </c>
      <c r="K241" s="56">
        <v>2129.6</v>
      </c>
      <c r="L241" s="55">
        <v>30000</v>
      </c>
      <c r="M241" s="55" t="s">
        <v>186</v>
      </c>
      <c r="N241" s="57">
        <f t="shared" si="9"/>
        <v>7.098666666666667E-2</v>
      </c>
      <c r="O241" s="57">
        <f>+VLOOKUP(J241,TC!$B$6:$C$17,2,0)*PRECIOS!N241</f>
        <v>324.8634528631452</v>
      </c>
      <c r="P241" s="55" t="str">
        <f t="shared" si="10"/>
        <v>No</v>
      </c>
      <c r="Q241" s="57">
        <f>+IF(I241=1,O241,IF(I241=2,O241/(1+MRI!$C$18),(O241/(1+MRI!$D$18))/(1+MRI!$C$18)))</f>
        <v>248.34824712805909</v>
      </c>
      <c r="R241" s="57" t="str">
        <f t="shared" si="11"/>
        <v/>
      </c>
    </row>
    <row r="242" spans="1:18" x14ac:dyDescent="0.3">
      <c r="A242" s="42">
        <v>241</v>
      </c>
      <c r="B242" s="42" t="s">
        <v>27</v>
      </c>
      <c r="C242" s="42" t="s">
        <v>227</v>
      </c>
      <c r="D242" s="42" t="s">
        <v>181</v>
      </c>
      <c r="E242" s="42" t="s">
        <v>130</v>
      </c>
      <c r="F242" s="42" t="s">
        <v>141</v>
      </c>
      <c r="G242" s="42" t="s">
        <v>176</v>
      </c>
      <c r="H242" s="42" t="s">
        <v>11</v>
      </c>
      <c r="I242" s="42">
        <v>1</v>
      </c>
      <c r="J242" s="42" t="s">
        <v>40</v>
      </c>
      <c r="K242" s="43">
        <v>1917.06</v>
      </c>
      <c r="L242" s="42">
        <v>30000</v>
      </c>
      <c r="M242" s="42" t="s">
        <v>186</v>
      </c>
      <c r="N242" s="44">
        <f t="shared" si="9"/>
        <v>6.3902E-2</v>
      </c>
      <c r="O242" s="44">
        <f>+VLOOKUP(J242,TC!$B$6:$C$17,2,0)*PRECIOS!N242</f>
        <v>292.44117719093776</v>
      </c>
      <c r="P242" s="42" t="str">
        <f t="shared" si="10"/>
        <v>Si</v>
      </c>
      <c r="Q242" s="44">
        <f>+IF(I242=1,O242,IF(I242=2,O242/(1+MRI!$C$18),(O242/(1+MRI!$D$18))/(1+MRI!$C$18)))</f>
        <v>292.44117719093776</v>
      </c>
      <c r="R242" s="44">
        <f t="shared" si="11"/>
        <v>292.44117719093776</v>
      </c>
    </row>
    <row r="243" spans="1:18" x14ac:dyDescent="0.3">
      <c r="A243" s="55">
        <v>242</v>
      </c>
      <c r="B243" s="55" t="s">
        <v>27</v>
      </c>
      <c r="C243" s="55" t="s">
        <v>227</v>
      </c>
      <c r="D243" s="55" t="s">
        <v>181</v>
      </c>
      <c r="E243" s="55" t="s">
        <v>130</v>
      </c>
      <c r="F243" s="55" t="s">
        <v>141</v>
      </c>
      <c r="G243" s="55" t="s">
        <v>176</v>
      </c>
      <c r="H243" s="55" t="s">
        <v>22</v>
      </c>
      <c r="I243" s="55">
        <v>2</v>
      </c>
      <c r="J243" s="55" t="s">
        <v>40</v>
      </c>
      <c r="K243" s="56">
        <v>1945.86</v>
      </c>
      <c r="L243" s="55">
        <v>30000</v>
      </c>
      <c r="M243" s="55" t="s">
        <v>186</v>
      </c>
      <c r="N243" s="57">
        <f t="shared" si="9"/>
        <v>6.4862000000000003E-2</v>
      </c>
      <c r="O243" s="57">
        <f>+VLOOKUP(J243,TC!$B$6:$C$17,2,0)*PRECIOS!N243</f>
        <v>296.83452215828311</v>
      </c>
      <c r="P243" s="55" t="str">
        <f t="shared" si="10"/>
        <v>No</v>
      </c>
      <c r="Q243" s="57">
        <f>+IF(I243=1,O243,IF(I243=2,O243/(1+MRI!$C$18),(O243/(1+MRI!$D$18))/(1+MRI!$C$18)))</f>
        <v>270.91104432666458</v>
      </c>
      <c r="R243" s="57" t="str">
        <f t="shared" si="11"/>
        <v/>
      </c>
    </row>
    <row r="244" spans="1:18" x14ac:dyDescent="0.3">
      <c r="A244" s="42">
        <v>243</v>
      </c>
      <c r="B244" s="42" t="s">
        <v>27</v>
      </c>
      <c r="C244" s="42" t="s">
        <v>227</v>
      </c>
      <c r="D244" s="42" t="s">
        <v>181</v>
      </c>
      <c r="E244" s="42" t="s">
        <v>28</v>
      </c>
      <c r="F244" s="42" t="s">
        <v>141</v>
      </c>
      <c r="G244" s="42" t="s">
        <v>176</v>
      </c>
      <c r="H244" s="42" t="s">
        <v>20</v>
      </c>
      <c r="I244" s="42">
        <v>3</v>
      </c>
      <c r="J244" s="42" t="s">
        <v>40</v>
      </c>
      <c r="K244" s="43">
        <v>378.14</v>
      </c>
      <c r="L244" s="42">
        <v>5000</v>
      </c>
      <c r="M244" s="42" t="s">
        <v>186</v>
      </c>
      <c r="N244" s="44">
        <f t="shared" si="9"/>
        <v>7.5628000000000001E-2</v>
      </c>
      <c r="O244" s="44">
        <f>+VLOOKUP(J244,TC!$B$6:$C$17,2,0)*PRECIOS!N244</f>
        <v>346.10405540665772</v>
      </c>
      <c r="P244" s="42" t="str">
        <f t="shared" si="10"/>
        <v>No</v>
      </c>
      <c r="Q244" s="44">
        <f>+IF(I244=1,O244,IF(I244=2,O244/(1+MRI!$C$18),(O244/(1+MRI!$D$18))/(1+MRI!$C$18)))</f>
        <v>264.58604292544402</v>
      </c>
      <c r="R244" s="44" t="str">
        <f t="shared" si="11"/>
        <v/>
      </c>
    </row>
    <row r="245" spans="1:18" x14ac:dyDescent="0.3">
      <c r="A245" s="55">
        <v>244</v>
      </c>
      <c r="B245" s="55" t="s">
        <v>27</v>
      </c>
      <c r="C245" s="55" t="s">
        <v>227</v>
      </c>
      <c r="D245" s="55" t="s">
        <v>181</v>
      </c>
      <c r="E245" s="55" t="s">
        <v>28</v>
      </c>
      <c r="F245" s="55" t="s">
        <v>141</v>
      </c>
      <c r="G245" s="55" t="s">
        <v>176</v>
      </c>
      <c r="H245" s="55" t="s">
        <v>11</v>
      </c>
      <c r="I245" s="55">
        <v>1</v>
      </c>
      <c r="J245" s="55" t="s">
        <v>40</v>
      </c>
      <c r="K245" s="56">
        <v>319.51</v>
      </c>
      <c r="L245" s="55">
        <v>5000</v>
      </c>
      <c r="M245" s="55" t="s">
        <v>186</v>
      </c>
      <c r="N245" s="57">
        <f t="shared" si="9"/>
        <v>6.3902E-2</v>
      </c>
      <c r="O245" s="57">
        <f>+VLOOKUP(J245,TC!$B$6:$C$17,2,0)*PRECIOS!N245</f>
        <v>292.44117719093776</v>
      </c>
      <c r="P245" s="55" t="str">
        <f t="shared" si="10"/>
        <v>Si</v>
      </c>
      <c r="Q245" s="57">
        <f>+IF(I245=1,O245,IF(I245=2,O245/(1+MRI!$C$18),(O245/(1+MRI!$D$18))/(1+MRI!$C$18)))</f>
        <v>292.44117719093776</v>
      </c>
      <c r="R245" s="57">
        <f t="shared" si="11"/>
        <v>292.44117719093776</v>
      </c>
    </row>
    <row r="246" spans="1:18" x14ac:dyDescent="0.3">
      <c r="A246" s="42">
        <v>245</v>
      </c>
      <c r="B246" s="42" t="s">
        <v>27</v>
      </c>
      <c r="C246" s="42" t="s">
        <v>227</v>
      </c>
      <c r="D246" s="42" t="s">
        <v>181</v>
      </c>
      <c r="E246" s="42" t="s">
        <v>28</v>
      </c>
      <c r="F246" s="42" t="s">
        <v>141</v>
      </c>
      <c r="G246" s="42" t="s">
        <v>176</v>
      </c>
      <c r="H246" s="42" t="s">
        <v>22</v>
      </c>
      <c r="I246" s="42">
        <v>2</v>
      </c>
      <c r="J246" s="42" t="s">
        <v>40</v>
      </c>
      <c r="K246" s="43">
        <v>324.31</v>
      </c>
      <c r="L246" s="42">
        <v>5000</v>
      </c>
      <c r="M246" s="42" t="s">
        <v>186</v>
      </c>
      <c r="N246" s="44">
        <f t="shared" si="9"/>
        <v>6.4862000000000003E-2</v>
      </c>
      <c r="O246" s="44">
        <f>+VLOOKUP(J246,TC!$B$6:$C$17,2,0)*PRECIOS!N246</f>
        <v>296.83452215828311</v>
      </c>
      <c r="P246" s="42" t="str">
        <f t="shared" si="10"/>
        <v>No</v>
      </c>
      <c r="Q246" s="44">
        <f>+IF(I246=1,O246,IF(I246=2,O246/(1+MRI!$C$18),(O246/(1+MRI!$D$18))/(1+MRI!$C$18)))</f>
        <v>270.91104432666458</v>
      </c>
      <c r="R246" s="44" t="str">
        <f t="shared" si="11"/>
        <v/>
      </c>
    </row>
    <row r="247" spans="1:18" x14ac:dyDescent="0.3">
      <c r="A247" s="55">
        <v>246</v>
      </c>
      <c r="B247" s="55" t="s">
        <v>27</v>
      </c>
      <c r="C247" s="55" t="s">
        <v>228</v>
      </c>
      <c r="D247" s="55" t="s">
        <v>181</v>
      </c>
      <c r="E247" s="55" t="s">
        <v>29</v>
      </c>
      <c r="F247" s="55" t="s">
        <v>106</v>
      </c>
      <c r="G247" s="55" t="s">
        <v>207</v>
      </c>
      <c r="H247" s="55" t="s">
        <v>20</v>
      </c>
      <c r="I247" s="55">
        <v>3</v>
      </c>
      <c r="J247" s="55" t="s">
        <v>40</v>
      </c>
      <c r="K247" s="56">
        <v>907.72</v>
      </c>
      <c r="L247" s="55">
        <v>10000</v>
      </c>
      <c r="M247" s="55" t="s">
        <v>186</v>
      </c>
      <c r="N247" s="57">
        <f t="shared" si="9"/>
        <v>9.0772000000000005E-2</v>
      </c>
      <c r="O247" s="57">
        <f>+VLOOKUP(J247,TC!$B$6:$C$17,2,0)*PRECIOS!N247</f>
        <v>415.40907226653007</v>
      </c>
      <c r="P247" s="55" t="str">
        <f t="shared" si="10"/>
        <v>No</v>
      </c>
      <c r="Q247" s="57">
        <f>+IF(I247=1,O247,IF(I247=2,O247/(1+MRI!$C$18),(O247/(1+MRI!$D$18))/(1+MRI!$C$18)))</f>
        <v>317.56762427180945</v>
      </c>
      <c r="R247" s="57" t="str">
        <f t="shared" si="11"/>
        <v/>
      </c>
    </row>
    <row r="248" spans="1:18" x14ac:dyDescent="0.3">
      <c r="A248" s="42">
        <v>247</v>
      </c>
      <c r="B248" s="42" t="s">
        <v>27</v>
      </c>
      <c r="C248" s="42" t="s">
        <v>228</v>
      </c>
      <c r="D248" s="42" t="s">
        <v>181</v>
      </c>
      <c r="E248" s="42" t="s">
        <v>29</v>
      </c>
      <c r="F248" s="42" t="s">
        <v>106</v>
      </c>
      <c r="G248" s="42" t="s">
        <v>207</v>
      </c>
      <c r="H248" s="42" t="s">
        <v>11</v>
      </c>
      <c r="I248" s="42">
        <v>1</v>
      </c>
      <c r="J248" s="42" t="s">
        <v>40</v>
      </c>
      <c r="K248" s="43">
        <v>550</v>
      </c>
      <c r="L248" s="42">
        <v>10000</v>
      </c>
      <c r="M248" s="42" t="s">
        <v>186</v>
      </c>
      <c r="N248" s="44">
        <f t="shared" si="9"/>
        <v>5.5E-2</v>
      </c>
      <c r="O248" s="44">
        <f>+VLOOKUP(J248,TC!$B$6:$C$17,2,0)*PRECIOS!N248</f>
        <v>251.70205542082527</v>
      </c>
      <c r="P248" s="42" t="str">
        <f t="shared" si="10"/>
        <v>Si</v>
      </c>
      <c r="Q248" s="44">
        <f>+IF(I248=1,O248,IF(I248=2,O248/(1+MRI!$C$18),(O248/(1+MRI!$D$18))/(1+MRI!$C$18)))</f>
        <v>251.70205542082527</v>
      </c>
      <c r="R248" s="44">
        <f t="shared" si="11"/>
        <v>251.70205542082527</v>
      </c>
    </row>
    <row r="249" spans="1:18" x14ac:dyDescent="0.3">
      <c r="A249" s="55">
        <v>248</v>
      </c>
      <c r="B249" s="55" t="s">
        <v>27</v>
      </c>
      <c r="C249" s="55" t="s">
        <v>228</v>
      </c>
      <c r="D249" s="55" t="s">
        <v>181</v>
      </c>
      <c r="E249" s="55" t="s">
        <v>30</v>
      </c>
      <c r="F249" s="55" t="s">
        <v>106</v>
      </c>
      <c r="G249" s="55" t="s">
        <v>207</v>
      </c>
      <c r="H249" s="55" t="s">
        <v>20</v>
      </c>
      <c r="I249" s="55">
        <v>3</v>
      </c>
      <c r="J249" s="55" t="s">
        <v>40</v>
      </c>
      <c r="K249" s="56">
        <v>1815.44</v>
      </c>
      <c r="L249" s="55">
        <v>20000</v>
      </c>
      <c r="M249" s="55" t="s">
        <v>186</v>
      </c>
      <c r="N249" s="57">
        <f t="shared" si="9"/>
        <v>9.0772000000000005E-2</v>
      </c>
      <c r="O249" s="57">
        <f>+VLOOKUP(J249,TC!$B$6:$C$17,2,0)*PRECIOS!N249</f>
        <v>415.40907226653007</v>
      </c>
      <c r="P249" s="55" t="str">
        <f t="shared" si="10"/>
        <v>No</v>
      </c>
      <c r="Q249" s="57">
        <f>+IF(I249=1,O249,IF(I249=2,O249/(1+MRI!$C$18),(O249/(1+MRI!$D$18))/(1+MRI!$C$18)))</f>
        <v>317.56762427180945</v>
      </c>
      <c r="R249" s="57" t="str">
        <f t="shared" si="11"/>
        <v/>
      </c>
    </row>
    <row r="250" spans="1:18" x14ac:dyDescent="0.3">
      <c r="A250" s="42">
        <v>249</v>
      </c>
      <c r="B250" s="42" t="s">
        <v>27</v>
      </c>
      <c r="C250" s="42" t="s">
        <v>228</v>
      </c>
      <c r="D250" s="42" t="s">
        <v>181</v>
      </c>
      <c r="E250" s="42" t="s">
        <v>30</v>
      </c>
      <c r="F250" s="42" t="s">
        <v>106</v>
      </c>
      <c r="G250" s="42" t="s">
        <v>207</v>
      </c>
      <c r="H250" s="42" t="s">
        <v>11</v>
      </c>
      <c r="I250" s="42">
        <v>1</v>
      </c>
      <c r="J250" s="42" t="s">
        <v>40</v>
      </c>
      <c r="K250" s="43">
        <v>1100</v>
      </c>
      <c r="L250" s="42">
        <v>20000</v>
      </c>
      <c r="M250" s="42" t="s">
        <v>186</v>
      </c>
      <c r="N250" s="44">
        <f t="shared" si="9"/>
        <v>5.5E-2</v>
      </c>
      <c r="O250" s="44">
        <f>+VLOOKUP(J250,TC!$B$6:$C$17,2,0)*PRECIOS!N250</f>
        <v>251.70205542082527</v>
      </c>
      <c r="P250" s="42" t="str">
        <f t="shared" si="10"/>
        <v>Si</v>
      </c>
      <c r="Q250" s="44">
        <f>+IF(I250=1,O250,IF(I250=2,O250/(1+MRI!$C$18),(O250/(1+MRI!$D$18))/(1+MRI!$C$18)))</f>
        <v>251.70205542082527</v>
      </c>
      <c r="R250" s="44">
        <f t="shared" si="11"/>
        <v>251.70205542082527</v>
      </c>
    </row>
    <row r="251" spans="1:18" x14ac:dyDescent="0.3">
      <c r="A251" s="55">
        <v>250</v>
      </c>
      <c r="B251" s="55" t="s">
        <v>27</v>
      </c>
      <c r="C251" s="55" t="s">
        <v>228</v>
      </c>
      <c r="D251" s="55" t="s">
        <v>181</v>
      </c>
      <c r="E251" s="55" t="s">
        <v>130</v>
      </c>
      <c r="F251" s="55" t="s">
        <v>106</v>
      </c>
      <c r="G251" s="55" t="s">
        <v>207</v>
      </c>
      <c r="H251" s="55" t="s">
        <v>20</v>
      </c>
      <c r="I251" s="55">
        <v>3</v>
      </c>
      <c r="J251" s="55" t="s">
        <v>40</v>
      </c>
      <c r="K251" s="56">
        <v>2723.16</v>
      </c>
      <c r="L251" s="55">
        <v>30000</v>
      </c>
      <c r="M251" s="55" t="s">
        <v>186</v>
      </c>
      <c r="N251" s="57">
        <f t="shared" si="9"/>
        <v>9.0771999999999992E-2</v>
      </c>
      <c r="O251" s="57">
        <f>+VLOOKUP(J251,TC!$B$6:$C$17,2,0)*PRECIOS!N251</f>
        <v>415.40907226653002</v>
      </c>
      <c r="P251" s="55" t="str">
        <f t="shared" si="10"/>
        <v>No</v>
      </c>
      <c r="Q251" s="57">
        <f>+IF(I251=1,O251,IF(I251=2,O251/(1+MRI!$C$18),(O251/(1+MRI!$D$18))/(1+MRI!$C$18)))</f>
        <v>317.56762427180939</v>
      </c>
      <c r="R251" s="57" t="str">
        <f t="shared" si="11"/>
        <v/>
      </c>
    </row>
    <row r="252" spans="1:18" x14ac:dyDescent="0.3">
      <c r="A252" s="42">
        <v>251</v>
      </c>
      <c r="B252" s="42" t="s">
        <v>27</v>
      </c>
      <c r="C252" s="42" t="s">
        <v>228</v>
      </c>
      <c r="D252" s="42" t="s">
        <v>181</v>
      </c>
      <c r="E252" s="42" t="s">
        <v>130</v>
      </c>
      <c r="F252" s="42" t="s">
        <v>106</v>
      </c>
      <c r="G252" s="42" t="s">
        <v>207</v>
      </c>
      <c r="H252" s="42" t="s">
        <v>11</v>
      </c>
      <c r="I252" s="42">
        <v>1</v>
      </c>
      <c r="J252" s="42" t="s">
        <v>40</v>
      </c>
      <c r="K252" s="43">
        <v>1650</v>
      </c>
      <c r="L252" s="42">
        <v>30000</v>
      </c>
      <c r="M252" s="42" t="s">
        <v>186</v>
      </c>
      <c r="N252" s="44">
        <f t="shared" si="9"/>
        <v>5.5E-2</v>
      </c>
      <c r="O252" s="44">
        <f>+VLOOKUP(J252,TC!$B$6:$C$17,2,0)*PRECIOS!N252</f>
        <v>251.70205542082527</v>
      </c>
      <c r="P252" s="42" t="str">
        <f t="shared" si="10"/>
        <v>Si</v>
      </c>
      <c r="Q252" s="44">
        <f>+IF(I252=1,O252,IF(I252=2,O252/(1+MRI!$C$18),(O252/(1+MRI!$D$18))/(1+MRI!$C$18)))</f>
        <v>251.70205542082527</v>
      </c>
      <c r="R252" s="44">
        <f t="shared" si="11"/>
        <v>251.70205542082527</v>
      </c>
    </row>
    <row r="253" spans="1:18" x14ac:dyDescent="0.3">
      <c r="A253" s="55">
        <v>252</v>
      </c>
      <c r="B253" s="55" t="s">
        <v>27</v>
      </c>
      <c r="C253" s="55" t="s">
        <v>228</v>
      </c>
      <c r="D253" s="55" t="s">
        <v>181</v>
      </c>
      <c r="E253" s="55" t="s">
        <v>28</v>
      </c>
      <c r="F253" s="55" t="s">
        <v>106</v>
      </c>
      <c r="G253" s="55" t="s">
        <v>207</v>
      </c>
      <c r="H253" s="55" t="s">
        <v>20</v>
      </c>
      <c r="I253" s="55">
        <v>3</v>
      </c>
      <c r="J253" s="55" t="s">
        <v>40</v>
      </c>
      <c r="K253" s="56">
        <v>453.86</v>
      </c>
      <c r="L253" s="55">
        <v>5000</v>
      </c>
      <c r="M253" s="55" t="s">
        <v>186</v>
      </c>
      <c r="N253" s="57">
        <f t="shared" si="9"/>
        <v>9.0772000000000005E-2</v>
      </c>
      <c r="O253" s="57">
        <f>+VLOOKUP(J253,TC!$B$6:$C$17,2,0)*PRECIOS!N253</f>
        <v>415.40907226653007</v>
      </c>
      <c r="P253" s="55" t="str">
        <f t="shared" si="10"/>
        <v>No</v>
      </c>
      <c r="Q253" s="57">
        <f>+IF(I253=1,O253,IF(I253=2,O253/(1+MRI!$C$18),(O253/(1+MRI!$D$18))/(1+MRI!$C$18)))</f>
        <v>317.56762427180945</v>
      </c>
      <c r="R253" s="57" t="str">
        <f t="shared" si="11"/>
        <v/>
      </c>
    </row>
    <row r="254" spans="1:18" x14ac:dyDescent="0.3">
      <c r="A254" s="42">
        <v>253</v>
      </c>
      <c r="B254" s="42" t="s">
        <v>27</v>
      </c>
      <c r="C254" s="42" t="s">
        <v>228</v>
      </c>
      <c r="D254" s="42" t="s">
        <v>181</v>
      </c>
      <c r="E254" s="42" t="s">
        <v>28</v>
      </c>
      <c r="F254" s="42" t="s">
        <v>106</v>
      </c>
      <c r="G254" s="42" t="s">
        <v>207</v>
      </c>
      <c r="H254" s="42" t="s">
        <v>11</v>
      </c>
      <c r="I254" s="42">
        <v>1</v>
      </c>
      <c r="J254" s="42" t="s">
        <v>40</v>
      </c>
      <c r="K254" s="43">
        <v>275</v>
      </c>
      <c r="L254" s="42">
        <v>5000</v>
      </c>
      <c r="M254" s="42" t="s">
        <v>186</v>
      </c>
      <c r="N254" s="44">
        <f t="shared" si="9"/>
        <v>5.5E-2</v>
      </c>
      <c r="O254" s="44">
        <f>+VLOOKUP(J254,TC!$B$6:$C$17,2,0)*PRECIOS!N254</f>
        <v>251.70205542082527</v>
      </c>
      <c r="P254" s="42" t="str">
        <f t="shared" si="10"/>
        <v>Si</v>
      </c>
      <c r="Q254" s="44">
        <f>+IF(I254=1,O254,IF(I254=2,O254/(1+MRI!$C$18),(O254/(1+MRI!$D$18))/(1+MRI!$C$18)))</f>
        <v>251.70205542082527</v>
      </c>
      <c r="R254" s="44">
        <f t="shared" si="11"/>
        <v>251.70205542082527</v>
      </c>
    </row>
    <row r="255" spans="1:18" x14ac:dyDescent="0.3">
      <c r="A255" s="55">
        <v>254</v>
      </c>
      <c r="B255" s="55" t="s">
        <v>27</v>
      </c>
      <c r="C255" s="55" t="s">
        <v>229</v>
      </c>
      <c r="D255" s="55" t="s">
        <v>181</v>
      </c>
      <c r="E255" s="55" t="s">
        <v>29</v>
      </c>
      <c r="F255" s="55" t="s">
        <v>18</v>
      </c>
      <c r="G255" s="55" t="s">
        <v>19</v>
      </c>
      <c r="H255" s="55" t="s">
        <v>20</v>
      </c>
      <c r="I255" s="55">
        <v>3</v>
      </c>
      <c r="J255" s="55" t="s">
        <v>21</v>
      </c>
      <c r="K255" s="56">
        <v>10497.1</v>
      </c>
      <c r="L255" s="55">
        <v>10000</v>
      </c>
      <c r="M255" s="55" t="s">
        <v>186</v>
      </c>
      <c r="N255" s="57">
        <f t="shared" si="9"/>
        <v>1.0497100000000001</v>
      </c>
      <c r="O255" s="57">
        <f>+VLOOKUP(J255,TC!$B$6:$C$17,2,0)*PRECIOS!N255</f>
        <v>448.41706021767885</v>
      </c>
      <c r="P255" s="55" t="str">
        <f t="shared" si="10"/>
        <v>No</v>
      </c>
      <c r="Q255" s="57">
        <f>+IF(I255=1,O255,IF(I255=2,O255/(1+MRI!$C$18),(O255/(1+MRI!$D$18))/(1+MRI!$C$18)))</f>
        <v>342.80122896524119</v>
      </c>
      <c r="R255" s="57" t="str">
        <f t="shared" si="11"/>
        <v/>
      </c>
    </row>
    <row r="256" spans="1:18" x14ac:dyDescent="0.3">
      <c r="A256" s="42">
        <v>255</v>
      </c>
      <c r="B256" s="42" t="s">
        <v>27</v>
      </c>
      <c r="C256" s="42" t="s">
        <v>229</v>
      </c>
      <c r="D256" s="42" t="s">
        <v>181</v>
      </c>
      <c r="E256" s="42" t="s">
        <v>29</v>
      </c>
      <c r="F256" s="42" t="s">
        <v>18</v>
      </c>
      <c r="G256" s="42" t="s">
        <v>19</v>
      </c>
      <c r="H256" s="42" t="s">
        <v>22</v>
      </c>
      <c r="I256" s="42">
        <v>2</v>
      </c>
      <c r="J256" s="42" t="s">
        <v>21</v>
      </c>
      <c r="K256" s="43">
        <v>8164.6</v>
      </c>
      <c r="L256" s="42">
        <v>10000</v>
      </c>
      <c r="M256" s="42" t="s">
        <v>186</v>
      </c>
      <c r="N256" s="44">
        <f t="shared" si="9"/>
        <v>0.81646000000000007</v>
      </c>
      <c r="O256" s="44">
        <f>+VLOOKUP(J256,TC!$B$6:$C$17,2,0)*PRECIOS!N256</f>
        <v>348.77689360425836</v>
      </c>
      <c r="P256" s="42" t="str">
        <f t="shared" si="10"/>
        <v>Si</v>
      </c>
      <c r="Q256" s="44">
        <f>+IF(I256=1,O256,IF(I256=2,O256/(1+MRI!$C$18),(O256/(1+MRI!$D$18))/(1+MRI!$C$18)))</f>
        <v>318.3171276586063</v>
      </c>
      <c r="R256" s="44">
        <f t="shared" si="11"/>
        <v>318.3171276586063</v>
      </c>
    </row>
    <row r="257" spans="1:18" x14ac:dyDescent="0.3">
      <c r="A257" s="55">
        <v>256</v>
      </c>
      <c r="B257" s="55" t="s">
        <v>27</v>
      </c>
      <c r="C257" s="55" t="s">
        <v>229</v>
      </c>
      <c r="D257" s="55" t="s">
        <v>181</v>
      </c>
      <c r="E257" s="55" t="s">
        <v>30</v>
      </c>
      <c r="F257" s="55" t="s">
        <v>18</v>
      </c>
      <c r="G257" s="55" t="s">
        <v>19</v>
      </c>
      <c r="H257" s="55" t="s">
        <v>20</v>
      </c>
      <c r="I257" s="55">
        <v>3</v>
      </c>
      <c r="J257" s="55" t="s">
        <v>21</v>
      </c>
      <c r="K257" s="56">
        <v>20958</v>
      </c>
      <c r="L257" s="55">
        <v>20000</v>
      </c>
      <c r="M257" s="55" t="s">
        <v>186</v>
      </c>
      <c r="N257" s="57">
        <f t="shared" si="9"/>
        <v>1.0479000000000001</v>
      </c>
      <c r="O257" s="57">
        <f>+VLOOKUP(J257,TC!$B$6:$C$17,2,0)*PRECIOS!N257</f>
        <v>447.64386106839567</v>
      </c>
      <c r="P257" s="55" t="str">
        <f t="shared" si="10"/>
        <v>No</v>
      </c>
      <c r="Q257" s="57">
        <f>+IF(I257=1,O257,IF(I257=2,O257/(1+MRI!$C$18),(O257/(1+MRI!$D$18))/(1+MRI!$C$18)))</f>
        <v>342.21014168930105</v>
      </c>
      <c r="R257" s="57" t="str">
        <f t="shared" si="11"/>
        <v/>
      </c>
    </row>
    <row r="258" spans="1:18" x14ac:dyDescent="0.3">
      <c r="A258" s="42">
        <v>257</v>
      </c>
      <c r="B258" s="42" t="s">
        <v>27</v>
      </c>
      <c r="C258" s="42" t="s">
        <v>229</v>
      </c>
      <c r="D258" s="42" t="s">
        <v>181</v>
      </c>
      <c r="E258" s="42" t="s">
        <v>30</v>
      </c>
      <c r="F258" s="42" t="s">
        <v>18</v>
      </c>
      <c r="G258" s="42" t="s">
        <v>19</v>
      </c>
      <c r="H258" s="42" t="s">
        <v>22</v>
      </c>
      <c r="I258" s="42">
        <v>2</v>
      </c>
      <c r="J258" s="42" t="s">
        <v>21</v>
      </c>
      <c r="K258" s="43">
        <v>16329.2</v>
      </c>
      <c r="L258" s="42">
        <v>20000</v>
      </c>
      <c r="M258" s="42" t="s">
        <v>186</v>
      </c>
      <c r="N258" s="44">
        <f t="shared" si="9"/>
        <v>0.81646000000000007</v>
      </c>
      <c r="O258" s="44">
        <f>+VLOOKUP(J258,TC!$B$6:$C$17,2,0)*PRECIOS!N258</f>
        <v>348.77689360425836</v>
      </c>
      <c r="P258" s="42" t="str">
        <f t="shared" si="10"/>
        <v>Si</v>
      </c>
      <c r="Q258" s="44">
        <f>+IF(I258=1,O258,IF(I258=2,O258/(1+MRI!$C$18),(O258/(1+MRI!$D$18))/(1+MRI!$C$18)))</f>
        <v>318.3171276586063</v>
      </c>
      <c r="R258" s="44">
        <f t="shared" si="11"/>
        <v>318.3171276586063</v>
      </c>
    </row>
    <row r="259" spans="1:18" x14ac:dyDescent="0.3">
      <c r="A259" s="55">
        <v>258</v>
      </c>
      <c r="B259" s="55" t="s">
        <v>27</v>
      </c>
      <c r="C259" s="55" t="s">
        <v>229</v>
      </c>
      <c r="D259" s="55" t="s">
        <v>181</v>
      </c>
      <c r="E259" s="55" t="s">
        <v>130</v>
      </c>
      <c r="F259" s="55" t="s">
        <v>18</v>
      </c>
      <c r="G259" s="55" t="s">
        <v>19</v>
      </c>
      <c r="H259" s="55" t="s">
        <v>20</v>
      </c>
      <c r="I259" s="55">
        <v>3</v>
      </c>
      <c r="J259" s="55" t="s">
        <v>21</v>
      </c>
      <c r="K259" s="56">
        <v>31418.9</v>
      </c>
      <c r="L259" s="55">
        <v>30000</v>
      </c>
      <c r="M259" s="55" t="s">
        <v>186</v>
      </c>
      <c r="N259" s="57">
        <f t="shared" ref="N259:N322" si="12">+K259/L259</f>
        <v>1.0472966666666668</v>
      </c>
      <c r="O259" s="57">
        <f>+VLOOKUP(J259,TC!$B$6:$C$17,2,0)*PRECIOS!N259</f>
        <v>447.38612801863468</v>
      </c>
      <c r="P259" s="55" t="str">
        <f t="shared" ref="P259:P322" si="13">IF(_xlfn.MINIFS($I:$I,$F:$F,F259,$E:$E,E259)=I259,"Si","No")</f>
        <v>No</v>
      </c>
      <c r="Q259" s="57">
        <f>+IF(I259=1,O259,IF(I259=2,O259/(1+MRI!$C$18),(O259/(1+MRI!$D$18))/(1+MRI!$C$18)))</f>
        <v>342.01311259732103</v>
      </c>
      <c r="R259" s="57" t="str">
        <f t="shared" ref="R259:R322" si="14">+IF(P259="Si",Q259,"")</f>
        <v/>
      </c>
    </row>
    <row r="260" spans="1:18" x14ac:dyDescent="0.3">
      <c r="A260" s="42">
        <v>259</v>
      </c>
      <c r="B260" s="42" t="s">
        <v>27</v>
      </c>
      <c r="C260" s="42" t="s">
        <v>229</v>
      </c>
      <c r="D260" s="42" t="s">
        <v>181</v>
      </c>
      <c r="E260" s="42" t="s">
        <v>130</v>
      </c>
      <c r="F260" s="42" t="s">
        <v>18</v>
      </c>
      <c r="G260" s="42" t="s">
        <v>19</v>
      </c>
      <c r="H260" s="42" t="s">
        <v>22</v>
      </c>
      <c r="I260" s="42">
        <v>2</v>
      </c>
      <c r="J260" s="42" t="s">
        <v>21</v>
      </c>
      <c r="K260" s="43">
        <v>24493.8</v>
      </c>
      <c r="L260" s="42">
        <v>30000</v>
      </c>
      <c r="M260" s="42" t="s">
        <v>186</v>
      </c>
      <c r="N260" s="44">
        <f t="shared" si="12"/>
        <v>0.81645999999999996</v>
      </c>
      <c r="O260" s="44">
        <f>+VLOOKUP(J260,TC!$B$6:$C$17,2,0)*PRECIOS!N260</f>
        <v>348.77689360425831</v>
      </c>
      <c r="P260" s="42" t="str">
        <f t="shared" si="13"/>
        <v>Si</v>
      </c>
      <c r="Q260" s="44">
        <f>+IF(I260=1,O260,IF(I260=2,O260/(1+MRI!$C$18),(O260/(1+MRI!$D$18))/(1+MRI!$C$18)))</f>
        <v>318.31712765860624</v>
      </c>
      <c r="R260" s="44">
        <f t="shared" si="14"/>
        <v>318.31712765860624</v>
      </c>
    </row>
    <row r="261" spans="1:18" x14ac:dyDescent="0.3">
      <c r="A261" s="55">
        <v>260</v>
      </c>
      <c r="B261" s="55" t="s">
        <v>27</v>
      </c>
      <c r="C261" s="55" t="s">
        <v>229</v>
      </c>
      <c r="D261" s="55" t="s">
        <v>181</v>
      </c>
      <c r="E261" s="55" t="s">
        <v>28</v>
      </c>
      <c r="F261" s="55" t="s">
        <v>18</v>
      </c>
      <c r="G261" s="55" t="s">
        <v>19</v>
      </c>
      <c r="H261" s="55" t="s">
        <v>20</v>
      </c>
      <c r="I261" s="55">
        <v>3</v>
      </c>
      <c r="J261" s="55" t="s">
        <v>21</v>
      </c>
      <c r="K261" s="56">
        <v>5266.7</v>
      </c>
      <c r="L261" s="55">
        <v>5000</v>
      </c>
      <c r="M261" s="55" t="s">
        <v>186</v>
      </c>
      <c r="N261" s="57">
        <f t="shared" si="12"/>
        <v>1.0533399999999999</v>
      </c>
      <c r="O261" s="57">
        <f>+VLOOKUP(J261,TC!$B$6:$C$17,2,0)*PRECIOS!N261</f>
        <v>449.96773033474938</v>
      </c>
      <c r="P261" s="55" t="str">
        <f t="shared" si="13"/>
        <v>No</v>
      </c>
      <c r="Q261" s="57">
        <f>+IF(I261=1,O261,IF(I261=2,O261/(1+MRI!$C$18),(O261/(1+MRI!$D$18))/(1+MRI!$C$18)))</f>
        <v>343.98666919267902</v>
      </c>
      <c r="R261" s="57" t="str">
        <f t="shared" si="14"/>
        <v/>
      </c>
    </row>
    <row r="262" spans="1:18" x14ac:dyDescent="0.3">
      <c r="A262" s="42">
        <v>261</v>
      </c>
      <c r="B262" s="42" t="s">
        <v>27</v>
      </c>
      <c r="C262" s="42" t="s">
        <v>229</v>
      </c>
      <c r="D262" s="42" t="s">
        <v>181</v>
      </c>
      <c r="E262" s="42" t="s">
        <v>28</v>
      </c>
      <c r="F262" s="42" t="s">
        <v>18</v>
      </c>
      <c r="G262" s="42" t="s">
        <v>19</v>
      </c>
      <c r="H262" s="42" t="s">
        <v>22</v>
      </c>
      <c r="I262" s="42">
        <v>2</v>
      </c>
      <c r="J262" s="42" t="s">
        <v>21</v>
      </c>
      <c r="K262" s="43">
        <v>4082.3</v>
      </c>
      <c r="L262" s="42">
        <v>5000</v>
      </c>
      <c r="M262" s="42" t="s">
        <v>186</v>
      </c>
      <c r="N262" s="44">
        <f t="shared" si="12"/>
        <v>0.81646000000000007</v>
      </c>
      <c r="O262" s="44">
        <f>+VLOOKUP(J262,TC!$B$6:$C$17,2,0)*PRECIOS!N262</f>
        <v>348.77689360425836</v>
      </c>
      <c r="P262" s="42" t="str">
        <f t="shared" si="13"/>
        <v>Si</v>
      </c>
      <c r="Q262" s="44">
        <f>+IF(I262=1,O262,IF(I262=2,O262/(1+MRI!$C$18),(O262/(1+MRI!$D$18))/(1+MRI!$C$18)))</f>
        <v>318.3171276586063</v>
      </c>
      <c r="R262" s="44">
        <f t="shared" si="14"/>
        <v>318.3171276586063</v>
      </c>
    </row>
    <row r="263" spans="1:18" x14ac:dyDescent="0.3">
      <c r="A263" s="55">
        <v>262</v>
      </c>
      <c r="B263" s="55" t="s">
        <v>38</v>
      </c>
      <c r="C263" s="55" t="s">
        <v>215</v>
      </c>
      <c r="D263" s="55" t="s">
        <v>182</v>
      </c>
      <c r="E263" s="55" t="s">
        <v>14</v>
      </c>
      <c r="F263" s="55" t="s">
        <v>9</v>
      </c>
      <c r="G263" s="55" t="s">
        <v>10</v>
      </c>
      <c r="H263" s="55" t="s">
        <v>20</v>
      </c>
      <c r="I263" s="55">
        <v>3</v>
      </c>
      <c r="J263" s="55" t="s">
        <v>12</v>
      </c>
      <c r="K263" s="56">
        <v>3615.98</v>
      </c>
      <c r="L263" s="55">
        <v>10000</v>
      </c>
      <c r="M263" s="55" t="s">
        <v>186</v>
      </c>
      <c r="N263" s="57">
        <f t="shared" si="12"/>
        <v>0.36159799999999997</v>
      </c>
      <c r="O263" s="57">
        <f>+VLOOKUP(J263,TC!$B$6:$C$17,2,0)*PRECIOS!N263</f>
        <v>304.77993388274103</v>
      </c>
      <c r="P263" s="55" t="str">
        <f t="shared" si="13"/>
        <v>No</v>
      </c>
      <c r="Q263" s="57">
        <f>+IF(I263=1,O263,IF(I263=2,O263/(1+MRI!$C$18),(O263/(1+MRI!$D$18))/(1+MRI!$C$18)))</f>
        <v>232.9950065865703</v>
      </c>
      <c r="R263" s="57" t="str">
        <f t="shared" si="14"/>
        <v/>
      </c>
    </row>
    <row r="264" spans="1:18" x14ac:dyDescent="0.3">
      <c r="A264" s="42">
        <v>263</v>
      </c>
      <c r="B264" s="42" t="s">
        <v>38</v>
      </c>
      <c r="C264" s="42" t="s">
        <v>215</v>
      </c>
      <c r="D264" s="42" t="s">
        <v>182</v>
      </c>
      <c r="E264" s="42" t="s">
        <v>14</v>
      </c>
      <c r="F264" s="42" t="s">
        <v>9</v>
      </c>
      <c r="G264" s="42" t="s">
        <v>10</v>
      </c>
      <c r="H264" s="42" t="s">
        <v>11</v>
      </c>
      <c r="I264" s="42">
        <v>1</v>
      </c>
      <c r="J264" s="42" t="s">
        <v>12</v>
      </c>
      <c r="K264" s="43">
        <v>2615.65</v>
      </c>
      <c r="L264" s="42">
        <v>10000</v>
      </c>
      <c r="M264" s="42" t="s">
        <v>186</v>
      </c>
      <c r="N264" s="44">
        <f t="shared" si="12"/>
        <v>0.26156499999999999</v>
      </c>
      <c r="O264" s="44">
        <f>+VLOOKUP(J264,TC!$B$6:$C$17,2,0)*PRECIOS!N264</f>
        <v>220.46516685943828</v>
      </c>
      <c r="P264" s="42" t="str">
        <f t="shared" si="13"/>
        <v>Si</v>
      </c>
      <c r="Q264" s="44">
        <f>+IF(I264=1,O264,IF(I264=2,O264/(1+MRI!$C$18),(O264/(1+MRI!$D$18))/(1+MRI!$C$18)))</f>
        <v>220.46516685943828</v>
      </c>
      <c r="R264" s="44">
        <f t="shared" si="14"/>
        <v>220.46516685943828</v>
      </c>
    </row>
    <row r="265" spans="1:18" x14ac:dyDescent="0.3">
      <c r="A265" s="55">
        <v>264</v>
      </c>
      <c r="B265" s="55" t="s">
        <v>38</v>
      </c>
      <c r="C265" s="55" t="s">
        <v>215</v>
      </c>
      <c r="D265" s="55" t="s">
        <v>182</v>
      </c>
      <c r="E265" s="55" t="s">
        <v>14</v>
      </c>
      <c r="F265" s="55" t="s">
        <v>9</v>
      </c>
      <c r="G265" s="55" t="s">
        <v>10</v>
      </c>
      <c r="H265" s="55" t="s">
        <v>13</v>
      </c>
      <c r="I265" s="55">
        <v>2</v>
      </c>
      <c r="J265" s="55" t="s">
        <v>12</v>
      </c>
      <c r="K265" s="56">
        <v>2052.5</v>
      </c>
      <c r="L265" s="55">
        <v>10000</v>
      </c>
      <c r="M265" s="55" t="s">
        <v>186</v>
      </c>
      <c r="N265" s="57">
        <f t="shared" si="12"/>
        <v>0.20524999999999999</v>
      </c>
      <c r="O265" s="57">
        <f>+VLOOKUP(J265,TC!$B$6:$C$17,2,0)*PRECIOS!N265</f>
        <v>172.99896965534268</v>
      </c>
      <c r="P265" s="55" t="str">
        <f t="shared" si="13"/>
        <v>No</v>
      </c>
      <c r="Q265" s="57">
        <f>+IF(I265=1,O265,IF(I265=2,O265/(1+MRI!$C$18),(O265/(1+MRI!$D$18))/(1+MRI!$C$18)))</f>
        <v>157.89043402362225</v>
      </c>
      <c r="R265" s="57" t="str">
        <f t="shared" si="14"/>
        <v/>
      </c>
    </row>
    <row r="266" spans="1:18" x14ac:dyDescent="0.3">
      <c r="A266" s="42">
        <v>265</v>
      </c>
      <c r="B266" s="42" t="s">
        <v>38</v>
      </c>
      <c r="C266" s="42" t="s">
        <v>215</v>
      </c>
      <c r="D266" s="42" t="s">
        <v>182</v>
      </c>
      <c r="E266" s="42" t="s">
        <v>8</v>
      </c>
      <c r="F266" s="42" t="s">
        <v>9</v>
      </c>
      <c r="G266" s="42" t="s">
        <v>10</v>
      </c>
      <c r="H266" s="42" t="s">
        <v>20</v>
      </c>
      <c r="I266" s="42">
        <v>3</v>
      </c>
      <c r="J266" s="42" t="s">
        <v>12</v>
      </c>
      <c r="K266" s="43">
        <v>361.58</v>
      </c>
      <c r="L266" s="42">
        <v>1000</v>
      </c>
      <c r="M266" s="42" t="s">
        <v>186</v>
      </c>
      <c r="N266" s="44">
        <f t="shared" si="12"/>
        <v>0.36157999999999996</v>
      </c>
      <c r="O266" s="44">
        <f>+VLOOKUP(J266,TC!$B$6:$C$17,2,0)*PRECIOS!N266</f>
        <v>304.76476223132181</v>
      </c>
      <c r="P266" s="42" t="str">
        <f t="shared" si="13"/>
        <v>No</v>
      </c>
      <c r="Q266" s="44">
        <f>+IF(I266=1,O266,IF(I266=2,O266/(1+MRI!$C$18),(O266/(1+MRI!$D$18))/(1+MRI!$C$18)))</f>
        <v>232.98340831965908</v>
      </c>
      <c r="R266" s="44" t="str">
        <f t="shared" si="14"/>
        <v/>
      </c>
    </row>
    <row r="267" spans="1:18" x14ac:dyDescent="0.3">
      <c r="A267" s="55">
        <v>266</v>
      </c>
      <c r="B267" s="55" t="s">
        <v>38</v>
      </c>
      <c r="C267" s="55" t="s">
        <v>215</v>
      </c>
      <c r="D267" s="55" t="s">
        <v>182</v>
      </c>
      <c r="E267" s="55" t="s">
        <v>8</v>
      </c>
      <c r="F267" s="55" t="s">
        <v>9</v>
      </c>
      <c r="G267" s="55" t="s">
        <v>10</v>
      </c>
      <c r="H267" s="55" t="s">
        <v>11</v>
      </c>
      <c r="I267" s="55">
        <v>1</v>
      </c>
      <c r="J267" s="55" t="s">
        <v>12</v>
      </c>
      <c r="K267" s="56">
        <v>261.55</v>
      </c>
      <c r="L267" s="55">
        <v>1000</v>
      </c>
      <c r="M267" s="55" t="s">
        <v>186</v>
      </c>
      <c r="N267" s="57">
        <f t="shared" si="12"/>
        <v>0.26155</v>
      </c>
      <c r="O267" s="57">
        <f>+VLOOKUP(J267,TC!$B$6:$C$17,2,0)*PRECIOS!N267</f>
        <v>220.45252381658892</v>
      </c>
      <c r="P267" s="55" t="str">
        <f t="shared" si="13"/>
        <v>Si</v>
      </c>
      <c r="Q267" s="57">
        <f>+IF(I267=1,O267,IF(I267=2,O267/(1+MRI!$C$18),(O267/(1+MRI!$D$18))/(1+MRI!$C$18)))</f>
        <v>220.45252381658892</v>
      </c>
      <c r="R267" s="57">
        <f t="shared" si="14"/>
        <v>220.45252381658892</v>
      </c>
    </row>
    <row r="268" spans="1:18" x14ac:dyDescent="0.3">
      <c r="A268" s="42">
        <v>267</v>
      </c>
      <c r="B268" s="42" t="s">
        <v>38</v>
      </c>
      <c r="C268" s="42" t="s">
        <v>215</v>
      </c>
      <c r="D268" s="42" t="s">
        <v>182</v>
      </c>
      <c r="E268" s="42" t="s">
        <v>8</v>
      </c>
      <c r="F268" s="42" t="s">
        <v>9</v>
      </c>
      <c r="G268" s="42" t="s">
        <v>10</v>
      </c>
      <c r="H268" s="42" t="s">
        <v>13</v>
      </c>
      <c r="I268" s="42">
        <v>2</v>
      </c>
      <c r="J268" s="42" t="s">
        <v>12</v>
      </c>
      <c r="K268" s="43">
        <v>205.24</v>
      </c>
      <c r="L268" s="42">
        <v>1000</v>
      </c>
      <c r="M268" s="42" t="s">
        <v>186</v>
      </c>
      <c r="N268" s="44">
        <f t="shared" si="12"/>
        <v>0.20524000000000001</v>
      </c>
      <c r="O268" s="44">
        <f>+VLOOKUP(J268,TC!$B$6:$C$17,2,0)*PRECIOS!N268</f>
        <v>172.99054096010977</v>
      </c>
      <c r="P268" s="42" t="str">
        <f t="shared" si="13"/>
        <v>No</v>
      </c>
      <c r="Q268" s="44">
        <f>+IF(I268=1,O268,IF(I268=2,O268/(1+MRI!$C$18),(O268/(1+MRI!$D$18))/(1+MRI!$C$18)))</f>
        <v>157.88274143243962</v>
      </c>
      <c r="R268" s="44" t="str">
        <f t="shared" si="14"/>
        <v/>
      </c>
    </row>
    <row r="269" spans="1:18" x14ac:dyDescent="0.3">
      <c r="A269" s="55">
        <v>268</v>
      </c>
      <c r="B269" s="55" t="s">
        <v>38</v>
      </c>
      <c r="C269" s="55" t="s">
        <v>220</v>
      </c>
      <c r="D269" s="55" t="s">
        <v>182</v>
      </c>
      <c r="E269" s="55" t="s">
        <v>14</v>
      </c>
      <c r="F269" s="55" t="s">
        <v>141</v>
      </c>
      <c r="G269" s="55" t="s">
        <v>176</v>
      </c>
      <c r="H269" s="55" t="s">
        <v>20</v>
      </c>
      <c r="I269" s="55">
        <v>3</v>
      </c>
      <c r="J269" s="55" t="s">
        <v>40</v>
      </c>
      <c r="K269" s="56">
        <v>1340.97</v>
      </c>
      <c r="L269" s="55">
        <v>10000</v>
      </c>
      <c r="M269" s="55" t="s">
        <v>186</v>
      </c>
      <c r="N269" s="57">
        <f t="shared" si="12"/>
        <v>0.13409699999999999</v>
      </c>
      <c r="O269" s="57">
        <f>+VLOOKUP(J269,TC!$B$6:$C$17,2,0)*PRECIOS!N269</f>
        <v>613.6816459230256</v>
      </c>
      <c r="P269" s="55" t="str">
        <f t="shared" si="13"/>
        <v>No</v>
      </c>
      <c r="Q269" s="57">
        <f>+IF(I269=1,O269,IF(I269=2,O269/(1+MRI!$C$18),(O269/(1+MRI!$D$18))/(1+MRI!$C$18)))</f>
        <v>469.14098744080587</v>
      </c>
      <c r="R269" s="57" t="str">
        <f t="shared" si="14"/>
        <v/>
      </c>
    </row>
    <row r="270" spans="1:18" x14ac:dyDescent="0.3">
      <c r="A270" s="42">
        <v>269</v>
      </c>
      <c r="B270" s="42" t="s">
        <v>38</v>
      </c>
      <c r="C270" s="42" t="s">
        <v>220</v>
      </c>
      <c r="D270" s="42" t="s">
        <v>182</v>
      </c>
      <c r="E270" s="42" t="s">
        <v>14</v>
      </c>
      <c r="F270" s="42" t="s">
        <v>141</v>
      </c>
      <c r="G270" s="42" t="s">
        <v>176</v>
      </c>
      <c r="H270" s="42" t="s">
        <v>11</v>
      </c>
      <c r="I270" s="42">
        <v>1</v>
      </c>
      <c r="J270" s="42" t="s">
        <v>40</v>
      </c>
      <c r="K270" s="43">
        <v>1187.02</v>
      </c>
      <c r="L270" s="42">
        <v>10000</v>
      </c>
      <c r="M270" s="42" t="s">
        <v>186</v>
      </c>
      <c r="N270" s="44">
        <f t="shared" si="12"/>
        <v>0.118702</v>
      </c>
      <c r="O270" s="44">
        <f>+VLOOKUP(J270,TC!$B$6:$C$17,2,0)*PRECIOS!N270</f>
        <v>543.22795241023277</v>
      </c>
      <c r="P270" s="42" t="str">
        <f t="shared" si="13"/>
        <v>Si</v>
      </c>
      <c r="Q270" s="44">
        <f>+IF(I270=1,O270,IF(I270=2,O270/(1+MRI!$C$18),(O270/(1+MRI!$D$18))/(1+MRI!$C$18)))</f>
        <v>543.22795241023277</v>
      </c>
      <c r="R270" s="44">
        <f t="shared" si="14"/>
        <v>543.22795241023277</v>
      </c>
    </row>
    <row r="271" spans="1:18" x14ac:dyDescent="0.3">
      <c r="A271" s="55">
        <v>270</v>
      </c>
      <c r="B271" s="55" t="s">
        <v>38</v>
      </c>
      <c r="C271" s="55" t="s">
        <v>220</v>
      </c>
      <c r="D271" s="55" t="s">
        <v>182</v>
      </c>
      <c r="E271" s="55" t="s">
        <v>14</v>
      </c>
      <c r="F271" s="55" t="s">
        <v>141</v>
      </c>
      <c r="G271" s="55" t="s">
        <v>176</v>
      </c>
      <c r="H271" s="55" t="s">
        <v>22</v>
      </c>
      <c r="I271" s="55">
        <v>2</v>
      </c>
      <c r="J271" s="55" t="s">
        <v>40</v>
      </c>
      <c r="K271" s="56">
        <v>1204.8499999999999</v>
      </c>
      <c r="L271" s="55">
        <v>10000</v>
      </c>
      <c r="M271" s="55" t="s">
        <v>186</v>
      </c>
      <c r="N271" s="57">
        <f t="shared" si="12"/>
        <v>0.12048499999999999</v>
      </c>
      <c r="O271" s="57">
        <f>+VLOOKUP(J271,TC!$B$6:$C$17,2,0)*PRECIOS!N271</f>
        <v>551.38767540687513</v>
      </c>
      <c r="P271" s="55" t="str">
        <f t="shared" si="13"/>
        <v>No</v>
      </c>
      <c r="Q271" s="57">
        <f>+IF(I271=1,O271,IF(I271=2,O271/(1+MRI!$C$18),(O271/(1+MRI!$D$18))/(1+MRI!$C$18)))</f>
        <v>503.23328259532815</v>
      </c>
      <c r="R271" s="57" t="str">
        <f t="shared" si="14"/>
        <v/>
      </c>
    </row>
    <row r="272" spans="1:18" x14ac:dyDescent="0.3">
      <c r="A272" s="42">
        <v>271</v>
      </c>
      <c r="B272" s="42" t="s">
        <v>38</v>
      </c>
      <c r="C272" s="42" t="s">
        <v>222</v>
      </c>
      <c r="D272" s="42" t="s">
        <v>182</v>
      </c>
      <c r="E272" s="42" t="s">
        <v>14</v>
      </c>
      <c r="F272" s="42" t="s">
        <v>106</v>
      </c>
      <c r="G272" s="42" t="s">
        <v>207</v>
      </c>
      <c r="H272" s="42" t="s">
        <v>20</v>
      </c>
      <c r="I272" s="42">
        <v>3</v>
      </c>
      <c r="J272" s="42" t="s">
        <v>40</v>
      </c>
      <c r="K272" s="43">
        <v>1072.76</v>
      </c>
      <c r="L272" s="42">
        <v>10000</v>
      </c>
      <c r="M272" s="42" t="s">
        <v>186</v>
      </c>
      <c r="N272" s="44">
        <f t="shared" si="12"/>
        <v>0.107276</v>
      </c>
      <c r="O272" s="44">
        <f>+VLOOKUP(J272,TC!$B$6:$C$17,2,0)*PRECIOS!N272</f>
        <v>490.93799449680819</v>
      </c>
      <c r="P272" s="42" t="str">
        <f t="shared" si="13"/>
        <v>No</v>
      </c>
      <c r="Q272" s="44">
        <f>+IF(I272=1,O272,IF(I272=2,O272/(1+MRI!$C$18),(O272/(1+MRI!$D$18))/(1+MRI!$C$18)))</f>
        <v>375.30719232122925</v>
      </c>
      <c r="R272" s="44" t="str">
        <f t="shared" si="14"/>
        <v/>
      </c>
    </row>
    <row r="273" spans="1:18" x14ac:dyDescent="0.3">
      <c r="A273" s="55">
        <v>272</v>
      </c>
      <c r="B273" s="55" t="s">
        <v>38</v>
      </c>
      <c r="C273" s="55" t="s">
        <v>222</v>
      </c>
      <c r="D273" s="55" t="s">
        <v>182</v>
      </c>
      <c r="E273" s="55" t="s">
        <v>14</v>
      </c>
      <c r="F273" s="55" t="s">
        <v>106</v>
      </c>
      <c r="G273" s="55" t="s">
        <v>207</v>
      </c>
      <c r="H273" s="55" t="s">
        <v>11</v>
      </c>
      <c r="I273" s="55">
        <v>1</v>
      </c>
      <c r="J273" s="55" t="s">
        <v>40</v>
      </c>
      <c r="K273" s="56">
        <v>650</v>
      </c>
      <c r="L273" s="55">
        <v>10000</v>
      </c>
      <c r="M273" s="55" t="s">
        <v>186</v>
      </c>
      <c r="N273" s="57">
        <f t="shared" si="12"/>
        <v>6.5000000000000002E-2</v>
      </c>
      <c r="O273" s="57">
        <f>+VLOOKUP(J273,TC!$B$6:$C$17,2,0)*PRECIOS!N273</f>
        <v>297.46606549733895</v>
      </c>
      <c r="P273" s="55" t="str">
        <f t="shared" si="13"/>
        <v>Si</v>
      </c>
      <c r="Q273" s="57">
        <f>+IF(I273=1,O273,IF(I273=2,O273/(1+MRI!$C$18),(O273/(1+MRI!$D$18))/(1+MRI!$C$18)))</f>
        <v>297.46606549733895</v>
      </c>
      <c r="R273" s="57">
        <f t="shared" si="14"/>
        <v>297.46606549733895</v>
      </c>
    </row>
    <row r="274" spans="1:18" x14ac:dyDescent="0.3">
      <c r="A274" s="42">
        <v>273</v>
      </c>
      <c r="B274" s="42" t="s">
        <v>38</v>
      </c>
      <c r="C274" s="42" t="s">
        <v>222</v>
      </c>
      <c r="D274" s="42" t="s">
        <v>182</v>
      </c>
      <c r="E274" s="42" t="s">
        <v>8</v>
      </c>
      <c r="F274" s="42" t="s">
        <v>106</v>
      </c>
      <c r="G274" s="42" t="s">
        <v>207</v>
      </c>
      <c r="H274" s="42" t="s">
        <v>20</v>
      </c>
      <c r="I274" s="42">
        <v>3</v>
      </c>
      <c r="J274" s="42" t="s">
        <v>40</v>
      </c>
      <c r="K274" s="43">
        <v>107.27</v>
      </c>
      <c r="L274" s="42">
        <v>1000</v>
      </c>
      <c r="M274" s="42" t="s">
        <v>186</v>
      </c>
      <c r="N274" s="44">
        <f t="shared" si="12"/>
        <v>0.10726999999999999</v>
      </c>
      <c r="O274" s="44">
        <f>+VLOOKUP(J274,TC!$B$6:$C$17,2,0)*PRECIOS!N274</f>
        <v>490.91053609076226</v>
      </c>
      <c r="P274" s="42" t="str">
        <f t="shared" si="13"/>
        <v>No</v>
      </c>
      <c r="Q274" s="44">
        <f>+IF(I274=1,O274,IF(I274=2,O274/(1+MRI!$C$18),(O274/(1+MRI!$D$18))/(1+MRI!$C$18)))</f>
        <v>375.28620120342168</v>
      </c>
      <c r="R274" s="44" t="str">
        <f t="shared" si="14"/>
        <v/>
      </c>
    </row>
    <row r="275" spans="1:18" x14ac:dyDescent="0.3">
      <c r="A275" s="55">
        <v>274</v>
      </c>
      <c r="B275" s="55" t="s">
        <v>38</v>
      </c>
      <c r="C275" s="55" t="s">
        <v>222</v>
      </c>
      <c r="D275" s="55" t="s">
        <v>182</v>
      </c>
      <c r="E275" s="55" t="s">
        <v>8</v>
      </c>
      <c r="F275" s="55" t="s">
        <v>106</v>
      </c>
      <c r="G275" s="55" t="s">
        <v>207</v>
      </c>
      <c r="H275" s="55" t="s">
        <v>11</v>
      </c>
      <c r="I275" s="55">
        <v>1</v>
      </c>
      <c r="J275" s="55" t="s">
        <v>40</v>
      </c>
      <c r="K275" s="56">
        <v>65</v>
      </c>
      <c r="L275" s="55">
        <v>1000</v>
      </c>
      <c r="M275" s="55" t="s">
        <v>186</v>
      </c>
      <c r="N275" s="57">
        <f t="shared" si="12"/>
        <v>6.5000000000000002E-2</v>
      </c>
      <c r="O275" s="57">
        <f>+VLOOKUP(J275,TC!$B$6:$C$17,2,0)*PRECIOS!N275</f>
        <v>297.46606549733895</v>
      </c>
      <c r="P275" s="55" t="str">
        <f t="shared" si="13"/>
        <v>Si</v>
      </c>
      <c r="Q275" s="57">
        <f>+IF(I275=1,O275,IF(I275=2,O275/(1+MRI!$C$18),(O275/(1+MRI!$D$18))/(1+MRI!$C$18)))</f>
        <v>297.46606549733895</v>
      </c>
      <c r="R275" s="57">
        <f t="shared" si="14"/>
        <v>297.46606549733895</v>
      </c>
    </row>
    <row r="276" spans="1:18" x14ac:dyDescent="0.3">
      <c r="A276" s="42">
        <v>275</v>
      </c>
      <c r="B276" s="42" t="s">
        <v>38</v>
      </c>
      <c r="C276" s="42" t="s">
        <v>230</v>
      </c>
      <c r="D276" s="42" t="s">
        <v>182</v>
      </c>
      <c r="E276" s="42" t="s">
        <v>62</v>
      </c>
      <c r="F276" s="42" t="s">
        <v>58</v>
      </c>
      <c r="G276" s="42" t="s">
        <v>59</v>
      </c>
      <c r="H276" s="42" t="s">
        <v>13</v>
      </c>
      <c r="I276" s="42">
        <v>2</v>
      </c>
      <c r="J276" s="42" t="s">
        <v>60</v>
      </c>
      <c r="K276" s="43">
        <v>590.72</v>
      </c>
      <c r="L276" s="42">
        <v>10000</v>
      </c>
      <c r="M276" s="42" t="s">
        <v>186</v>
      </c>
      <c r="N276" s="44">
        <f t="shared" si="12"/>
        <v>5.9072E-2</v>
      </c>
      <c r="O276" s="44">
        <f>+VLOOKUP(J276,TC!$B$6:$C$17,2,0)*PRECIOS!N276</f>
        <v>172.16637918963946</v>
      </c>
      <c r="P276" s="42" t="str">
        <f t="shared" si="13"/>
        <v>Si</v>
      </c>
      <c r="Q276" s="44">
        <f>+IF(I276=1,O276,IF(I276=2,O276/(1+MRI!$C$18),(O276/(1+MRI!$D$18))/(1+MRI!$C$18)))</f>
        <v>157.13055626102224</v>
      </c>
      <c r="R276" s="44">
        <f t="shared" si="14"/>
        <v>157.13055626102224</v>
      </c>
    </row>
    <row r="277" spans="1:18" x14ac:dyDescent="0.3">
      <c r="A277" s="55">
        <v>276</v>
      </c>
      <c r="B277" s="55" t="s">
        <v>38</v>
      </c>
      <c r="C277" s="55" t="s">
        <v>230</v>
      </c>
      <c r="D277" s="55" t="s">
        <v>182</v>
      </c>
      <c r="E277" s="55" t="s">
        <v>61</v>
      </c>
      <c r="F277" s="55" t="s">
        <v>58</v>
      </c>
      <c r="G277" s="55" t="s">
        <v>59</v>
      </c>
      <c r="H277" s="55" t="s">
        <v>13</v>
      </c>
      <c r="I277" s="55">
        <v>2</v>
      </c>
      <c r="J277" s="55" t="s">
        <v>60</v>
      </c>
      <c r="K277" s="56">
        <v>1181.44</v>
      </c>
      <c r="L277" s="55">
        <v>20000</v>
      </c>
      <c r="M277" s="55" t="s">
        <v>186</v>
      </c>
      <c r="N277" s="57">
        <f t="shared" si="12"/>
        <v>5.9072E-2</v>
      </c>
      <c r="O277" s="57">
        <f>+VLOOKUP(J277,TC!$B$6:$C$17,2,0)*PRECIOS!N277</f>
        <v>172.16637918963946</v>
      </c>
      <c r="P277" s="55" t="str">
        <f t="shared" si="13"/>
        <v>Si</v>
      </c>
      <c r="Q277" s="57">
        <f>+IF(I277=1,O277,IF(I277=2,O277/(1+MRI!$C$18),(O277/(1+MRI!$D$18))/(1+MRI!$C$18)))</f>
        <v>157.13055626102224</v>
      </c>
      <c r="R277" s="57">
        <f t="shared" si="14"/>
        <v>157.13055626102224</v>
      </c>
    </row>
    <row r="278" spans="1:18" x14ac:dyDescent="0.3">
      <c r="A278" s="42">
        <v>277</v>
      </c>
      <c r="B278" s="42" t="s">
        <v>38</v>
      </c>
      <c r="C278" s="42" t="s">
        <v>230</v>
      </c>
      <c r="D278" s="42" t="s">
        <v>182</v>
      </c>
      <c r="E278" s="42" t="s">
        <v>57</v>
      </c>
      <c r="F278" s="42" t="s">
        <v>58</v>
      </c>
      <c r="G278" s="42" t="s">
        <v>59</v>
      </c>
      <c r="H278" s="42" t="s">
        <v>13</v>
      </c>
      <c r="I278" s="42">
        <v>2</v>
      </c>
      <c r="J278" s="42" t="s">
        <v>60</v>
      </c>
      <c r="K278" s="43">
        <v>295.36</v>
      </c>
      <c r="L278" s="42">
        <v>5000</v>
      </c>
      <c r="M278" s="42" t="s">
        <v>186</v>
      </c>
      <c r="N278" s="44">
        <f t="shared" si="12"/>
        <v>5.9072E-2</v>
      </c>
      <c r="O278" s="44">
        <f>+VLOOKUP(J278,TC!$B$6:$C$17,2,0)*PRECIOS!N278</f>
        <v>172.16637918963946</v>
      </c>
      <c r="P278" s="42" t="str">
        <f t="shared" si="13"/>
        <v>Si</v>
      </c>
      <c r="Q278" s="44">
        <f>+IF(I278=1,O278,IF(I278=2,O278/(1+MRI!$C$18),(O278/(1+MRI!$D$18))/(1+MRI!$C$18)))</f>
        <v>157.13055626102224</v>
      </c>
      <c r="R278" s="44">
        <f t="shared" si="14"/>
        <v>157.13055626102224</v>
      </c>
    </row>
    <row r="279" spans="1:18" x14ac:dyDescent="0.3">
      <c r="A279" s="55">
        <v>278</v>
      </c>
      <c r="B279" s="55" t="s">
        <v>38</v>
      </c>
      <c r="C279" s="55" t="s">
        <v>215</v>
      </c>
      <c r="D279" s="55" t="s">
        <v>182</v>
      </c>
      <c r="E279" s="55" t="s">
        <v>132</v>
      </c>
      <c r="F279" s="55" t="s">
        <v>9</v>
      </c>
      <c r="G279" s="55" t="s">
        <v>10</v>
      </c>
      <c r="H279" s="55" t="s">
        <v>20</v>
      </c>
      <c r="I279" s="55">
        <v>3</v>
      </c>
      <c r="J279" s="55" t="s">
        <v>12</v>
      </c>
      <c r="K279" s="56">
        <v>3746.42</v>
      </c>
      <c r="L279" s="55">
        <v>5000</v>
      </c>
      <c r="M279" s="55" t="s">
        <v>186</v>
      </c>
      <c r="N279" s="57">
        <f t="shared" si="12"/>
        <v>0.74928400000000006</v>
      </c>
      <c r="O279" s="57">
        <f>+VLOOKUP(J279,TC!$B$6:$C$17,2,0)*PRECIOS!N279</f>
        <v>631.5486478890806</v>
      </c>
      <c r="P279" s="55" t="str">
        <f t="shared" si="13"/>
        <v>No</v>
      </c>
      <c r="Q279" s="57">
        <f>+IF(I279=1,O279,IF(I279=2,O279/(1+MRI!$C$18),(O279/(1+MRI!$D$18))/(1+MRI!$C$18)))</f>
        <v>482.79976801644858</v>
      </c>
      <c r="R279" s="57" t="str">
        <f t="shared" si="14"/>
        <v/>
      </c>
    </row>
    <row r="280" spans="1:18" x14ac:dyDescent="0.3">
      <c r="A280" s="42">
        <v>279</v>
      </c>
      <c r="B280" s="42" t="s">
        <v>38</v>
      </c>
      <c r="C280" s="42" t="s">
        <v>215</v>
      </c>
      <c r="D280" s="42" t="s">
        <v>182</v>
      </c>
      <c r="E280" s="42" t="s">
        <v>132</v>
      </c>
      <c r="F280" s="42" t="s">
        <v>9</v>
      </c>
      <c r="G280" s="42" t="s">
        <v>10</v>
      </c>
      <c r="H280" s="42" t="s">
        <v>11</v>
      </c>
      <c r="I280" s="42">
        <v>1</v>
      </c>
      <c r="J280" s="42" t="s">
        <v>12</v>
      </c>
      <c r="K280" s="43">
        <v>2710</v>
      </c>
      <c r="L280" s="42">
        <v>5000</v>
      </c>
      <c r="M280" s="42" t="s">
        <v>186</v>
      </c>
      <c r="N280" s="44">
        <f t="shared" si="12"/>
        <v>0.54200000000000004</v>
      </c>
      <c r="O280" s="44">
        <f>+VLOOKUP(J280,TC!$B$6:$C$17,2,0)*PRECIOS!N280</f>
        <v>456.83528162336535</v>
      </c>
      <c r="P280" s="42" t="str">
        <f t="shared" si="13"/>
        <v>Si</v>
      </c>
      <c r="Q280" s="44">
        <f>+IF(I280=1,O280,IF(I280=2,O280/(1+MRI!$C$18),(O280/(1+MRI!$D$18))/(1+MRI!$C$18)))</f>
        <v>456.83528162336535</v>
      </c>
      <c r="R280" s="44">
        <f t="shared" si="14"/>
        <v>456.83528162336535</v>
      </c>
    </row>
    <row r="281" spans="1:18" x14ac:dyDescent="0.3">
      <c r="A281" s="55">
        <v>280</v>
      </c>
      <c r="B281" s="55" t="s">
        <v>38</v>
      </c>
      <c r="C281" s="55" t="s">
        <v>215</v>
      </c>
      <c r="D281" s="55" t="s">
        <v>182</v>
      </c>
      <c r="E281" s="55" t="s">
        <v>132</v>
      </c>
      <c r="F281" s="55" t="s">
        <v>9</v>
      </c>
      <c r="G281" s="55" t="s">
        <v>10</v>
      </c>
      <c r="H281" s="55" t="s">
        <v>13</v>
      </c>
      <c r="I281" s="55">
        <v>2</v>
      </c>
      <c r="J281" s="55" t="s">
        <v>12</v>
      </c>
      <c r="K281" s="56">
        <v>2126.54</v>
      </c>
      <c r="L281" s="55">
        <v>5000</v>
      </c>
      <c r="M281" s="55" t="s">
        <v>186</v>
      </c>
      <c r="N281" s="57">
        <f t="shared" si="12"/>
        <v>0.42530800000000002</v>
      </c>
      <c r="O281" s="57">
        <f>+VLOOKUP(J281,TC!$B$6:$C$17,2,0)*PRECIOS!N281</f>
        <v>358.47915121156876</v>
      </c>
      <c r="P281" s="55" t="str">
        <f t="shared" si="13"/>
        <v>No</v>
      </c>
      <c r="Q281" s="57">
        <f>+IF(I281=1,O281,IF(I281=2,O281/(1+MRI!$C$18),(O281/(1+MRI!$D$18))/(1+MRI!$C$18)))</f>
        <v>327.17205707049322</v>
      </c>
      <c r="R281" s="57" t="str">
        <f t="shared" si="14"/>
        <v/>
      </c>
    </row>
    <row r="282" spans="1:18" x14ac:dyDescent="0.3">
      <c r="A282" s="42">
        <v>281</v>
      </c>
      <c r="B282" s="42" t="s">
        <v>38</v>
      </c>
      <c r="C282" s="42" t="s">
        <v>215</v>
      </c>
      <c r="D282" s="42" t="s">
        <v>182</v>
      </c>
      <c r="E282" s="42" t="s">
        <v>47</v>
      </c>
      <c r="F282" s="42" t="s">
        <v>9</v>
      </c>
      <c r="G282" s="42" t="s">
        <v>10</v>
      </c>
      <c r="H282" s="42" t="s">
        <v>20</v>
      </c>
      <c r="I282" s="42">
        <v>3</v>
      </c>
      <c r="J282" s="42" t="s">
        <v>12</v>
      </c>
      <c r="K282" s="43">
        <v>11009.18</v>
      </c>
      <c r="L282" s="42">
        <v>20000</v>
      </c>
      <c r="M282" s="42" t="s">
        <v>186</v>
      </c>
      <c r="N282" s="44">
        <f t="shared" si="12"/>
        <v>0.55045900000000003</v>
      </c>
      <c r="O282" s="44">
        <f>+VLOOKUP(J282,TC!$B$6:$C$17,2,0)*PRECIOS!N282</f>
        <v>463.96511492087836</v>
      </c>
      <c r="P282" s="42" t="str">
        <f t="shared" si="13"/>
        <v>No</v>
      </c>
      <c r="Q282" s="44">
        <f>+IF(I282=1,O282,IF(I282=2,O282/(1+MRI!$C$18),(O282/(1+MRI!$D$18))/(1+MRI!$C$18)))</f>
        <v>354.68724475975233</v>
      </c>
      <c r="R282" s="44" t="str">
        <f t="shared" si="14"/>
        <v/>
      </c>
    </row>
    <row r="283" spans="1:18" x14ac:dyDescent="0.3">
      <c r="A283" s="55">
        <v>282</v>
      </c>
      <c r="B283" s="55" t="s">
        <v>38</v>
      </c>
      <c r="C283" s="55" t="s">
        <v>215</v>
      </c>
      <c r="D283" s="55" t="s">
        <v>182</v>
      </c>
      <c r="E283" s="55" t="s">
        <v>47</v>
      </c>
      <c r="F283" s="55" t="s">
        <v>9</v>
      </c>
      <c r="G283" s="55" t="s">
        <v>10</v>
      </c>
      <c r="H283" s="55" t="s">
        <v>11</v>
      </c>
      <c r="I283" s="55">
        <v>1</v>
      </c>
      <c r="J283" s="55" t="s">
        <v>12</v>
      </c>
      <c r="K283" s="56">
        <v>7963.58</v>
      </c>
      <c r="L283" s="55">
        <v>20000</v>
      </c>
      <c r="M283" s="55" t="s">
        <v>186</v>
      </c>
      <c r="N283" s="57">
        <f t="shared" si="12"/>
        <v>0.39817900000000001</v>
      </c>
      <c r="O283" s="57">
        <f>+VLOOKUP(J283,TC!$B$6:$C$17,2,0)*PRECIOS!N283</f>
        <v>335.61294391422507</v>
      </c>
      <c r="P283" s="55" t="str">
        <f t="shared" si="13"/>
        <v>Si</v>
      </c>
      <c r="Q283" s="57">
        <f>+IF(I283=1,O283,IF(I283=2,O283/(1+MRI!$C$18),(O283/(1+MRI!$D$18))/(1+MRI!$C$18)))</f>
        <v>335.61294391422507</v>
      </c>
      <c r="R283" s="57">
        <f t="shared" si="14"/>
        <v>335.61294391422507</v>
      </c>
    </row>
    <row r="284" spans="1:18" x14ac:dyDescent="0.3">
      <c r="A284" s="42">
        <v>283</v>
      </c>
      <c r="B284" s="42" t="s">
        <v>38</v>
      </c>
      <c r="C284" s="42" t="s">
        <v>215</v>
      </c>
      <c r="D284" s="42" t="s">
        <v>182</v>
      </c>
      <c r="E284" s="42" t="s">
        <v>47</v>
      </c>
      <c r="F284" s="42" t="s">
        <v>9</v>
      </c>
      <c r="G284" s="42" t="s">
        <v>10</v>
      </c>
      <c r="H284" s="42" t="s">
        <v>13</v>
      </c>
      <c r="I284" s="42">
        <v>2</v>
      </c>
      <c r="J284" s="42" t="s">
        <v>12</v>
      </c>
      <c r="K284" s="43">
        <v>6249.02</v>
      </c>
      <c r="L284" s="42">
        <v>20000</v>
      </c>
      <c r="M284" s="42" t="s">
        <v>186</v>
      </c>
      <c r="N284" s="44">
        <f t="shared" si="12"/>
        <v>0.31245100000000003</v>
      </c>
      <c r="O284" s="44">
        <f>+VLOOKUP(J284,TC!$B$6:$C$17,2,0)*PRECIOS!N284</f>
        <v>263.35542542159067</v>
      </c>
      <c r="P284" s="42" t="str">
        <f t="shared" si="13"/>
        <v>No</v>
      </c>
      <c r="Q284" s="44">
        <f>+IF(I284=1,O284,IF(I284=2,O284/(1+MRI!$C$18),(O284/(1+MRI!$D$18))/(1+MRI!$C$18)))</f>
        <v>240.35578076060807</v>
      </c>
      <c r="R284" s="44" t="str">
        <f t="shared" si="14"/>
        <v/>
      </c>
    </row>
    <row r="285" spans="1:18" x14ac:dyDescent="0.3">
      <c r="A285" s="55">
        <v>284</v>
      </c>
      <c r="B285" s="55" t="s">
        <v>38</v>
      </c>
      <c r="C285" s="55" t="s">
        <v>215</v>
      </c>
      <c r="D285" s="55" t="s">
        <v>182</v>
      </c>
      <c r="E285" s="55" t="s">
        <v>52</v>
      </c>
      <c r="F285" s="55" t="s">
        <v>9</v>
      </c>
      <c r="G285" s="55" t="s">
        <v>10</v>
      </c>
      <c r="H285" s="55" t="s">
        <v>20</v>
      </c>
      <c r="I285" s="55">
        <v>3</v>
      </c>
      <c r="J285" s="55" t="s">
        <v>12</v>
      </c>
      <c r="K285" s="56">
        <v>3746.42</v>
      </c>
      <c r="L285" s="55">
        <v>5000</v>
      </c>
      <c r="M285" s="55" t="s">
        <v>186</v>
      </c>
      <c r="N285" s="57">
        <f t="shared" si="12"/>
        <v>0.74928400000000006</v>
      </c>
      <c r="O285" s="57">
        <f>+VLOOKUP(J285,TC!$B$6:$C$17,2,0)*PRECIOS!N285</f>
        <v>631.5486478890806</v>
      </c>
      <c r="P285" s="55" t="str">
        <f t="shared" si="13"/>
        <v>No</v>
      </c>
      <c r="Q285" s="57">
        <f>+IF(I285=1,O285,IF(I285=2,O285/(1+MRI!$C$18),(O285/(1+MRI!$D$18))/(1+MRI!$C$18)))</f>
        <v>482.79976801644858</v>
      </c>
      <c r="R285" s="57" t="str">
        <f t="shared" si="14"/>
        <v/>
      </c>
    </row>
    <row r="286" spans="1:18" x14ac:dyDescent="0.3">
      <c r="A286" s="42">
        <v>285</v>
      </c>
      <c r="B286" s="42" t="s">
        <v>38</v>
      </c>
      <c r="C286" s="42" t="s">
        <v>215</v>
      </c>
      <c r="D286" s="42" t="s">
        <v>182</v>
      </c>
      <c r="E286" s="42" t="s">
        <v>52</v>
      </c>
      <c r="F286" s="42" t="s">
        <v>9</v>
      </c>
      <c r="G286" s="42" t="s">
        <v>10</v>
      </c>
      <c r="H286" s="42" t="s">
        <v>11</v>
      </c>
      <c r="I286" s="42">
        <v>1</v>
      </c>
      <c r="J286" s="42" t="s">
        <v>12</v>
      </c>
      <c r="K286" s="43">
        <v>2710</v>
      </c>
      <c r="L286" s="42">
        <v>5000</v>
      </c>
      <c r="M286" s="42" t="s">
        <v>186</v>
      </c>
      <c r="N286" s="44">
        <f t="shared" si="12"/>
        <v>0.54200000000000004</v>
      </c>
      <c r="O286" s="44">
        <f>+VLOOKUP(J286,TC!$B$6:$C$17,2,0)*PRECIOS!N286</f>
        <v>456.83528162336535</v>
      </c>
      <c r="P286" s="42" t="str">
        <f t="shared" si="13"/>
        <v>Si</v>
      </c>
      <c r="Q286" s="44">
        <f>+IF(I286=1,O286,IF(I286=2,O286/(1+MRI!$C$18),(O286/(1+MRI!$D$18))/(1+MRI!$C$18)))</f>
        <v>456.83528162336535</v>
      </c>
      <c r="R286" s="44">
        <f t="shared" si="14"/>
        <v>456.83528162336535</v>
      </c>
    </row>
    <row r="287" spans="1:18" x14ac:dyDescent="0.3">
      <c r="A287" s="55">
        <v>286</v>
      </c>
      <c r="B287" s="55" t="s">
        <v>38</v>
      </c>
      <c r="C287" s="55" t="s">
        <v>215</v>
      </c>
      <c r="D287" s="55" t="s">
        <v>182</v>
      </c>
      <c r="E287" s="55" t="s">
        <v>52</v>
      </c>
      <c r="F287" s="55" t="s">
        <v>9</v>
      </c>
      <c r="G287" s="55" t="s">
        <v>10</v>
      </c>
      <c r="H287" s="55" t="s">
        <v>13</v>
      </c>
      <c r="I287" s="55">
        <v>2</v>
      </c>
      <c r="J287" s="55" t="s">
        <v>12</v>
      </c>
      <c r="K287" s="56">
        <v>2126.54</v>
      </c>
      <c r="L287" s="55">
        <v>5000</v>
      </c>
      <c r="M287" s="55" t="s">
        <v>186</v>
      </c>
      <c r="N287" s="57">
        <f t="shared" si="12"/>
        <v>0.42530800000000002</v>
      </c>
      <c r="O287" s="57">
        <f>+VLOOKUP(J287,TC!$B$6:$C$17,2,0)*PRECIOS!N287</f>
        <v>358.47915121156876</v>
      </c>
      <c r="P287" s="55" t="str">
        <f t="shared" si="13"/>
        <v>No</v>
      </c>
      <c r="Q287" s="57">
        <f>+IF(I287=1,O287,IF(I287=2,O287/(1+MRI!$C$18),(O287/(1+MRI!$D$18))/(1+MRI!$C$18)))</f>
        <v>327.17205707049322</v>
      </c>
      <c r="R287" s="57" t="str">
        <f t="shared" si="14"/>
        <v/>
      </c>
    </row>
    <row r="288" spans="1:18" x14ac:dyDescent="0.3">
      <c r="A288" s="42">
        <v>287</v>
      </c>
      <c r="B288" s="42" t="s">
        <v>38</v>
      </c>
      <c r="C288" s="42" t="s">
        <v>215</v>
      </c>
      <c r="D288" s="42" t="s">
        <v>182</v>
      </c>
      <c r="E288" s="42" t="s">
        <v>49</v>
      </c>
      <c r="F288" s="42" t="s">
        <v>9</v>
      </c>
      <c r="G288" s="42" t="s">
        <v>10</v>
      </c>
      <c r="H288" s="42" t="s">
        <v>20</v>
      </c>
      <c r="I288" s="42">
        <v>3</v>
      </c>
      <c r="J288" s="42" t="s">
        <v>12</v>
      </c>
      <c r="K288" s="43">
        <v>3746.42</v>
      </c>
      <c r="L288" s="42">
        <v>5000</v>
      </c>
      <c r="M288" s="42" t="s">
        <v>186</v>
      </c>
      <c r="N288" s="44">
        <f t="shared" si="12"/>
        <v>0.74928400000000006</v>
      </c>
      <c r="O288" s="44">
        <f>+VLOOKUP(J288,TC!$B$6:$C$17,2,0)*PRECIOS!N288</f>
        <v>631.5486478890806</v>
      </c>
      <c r="P288" s="42" t="str">
        <f t="shared" si="13"/>
        <v>No</v>
      </c>
      <c r="Q288" s="44">
        <f>+IF(I288=1,O288,IF(I288=2,O288/(1+MRI!$C$18),(O288/(1+MRI!$D$18))/(1+MRI!$C$18)))</f>
        <v>482.79976801644858</v>
      </c>
      <c r="R288" s="44" t="str">
        <f t="shared" si="14"/>
        <v/>
      </c>
    </row>
    <row r="289" spans="1:18" x14ac:dyDescent="0.3">
      <c r="A289" s="55">
        <v>288</v>
      </c>
      <c r="B289" s="55" t="s">
        <v>38</v>
      </c>
      <c r="C289" s="55" t="s">
        <v>215</v>
      </c>
      <c r="D289" s="55" t="s">
        <v>182</v>
      </c>
      <c r="E289" s="55" t="s">
        <v>49</v>
      </c>
      <c r="F289" s="55" t="s">
        <v>9</v>
      </c>
      <c r="G289" s="55" t="s">
        <v>10</v>
      </c>
      <c r="H289" s="55" t="s">
        <v>11</v>
      </c>
      <c r="I289" s="55">
        <v>1</v>
      </c>
      <c r="J289" s="55" t="s">
        <v>12</v>
      </c>
      <c r="K289" s="56">
        <v>2710</v>
      </c>
      <c r="L289" s="55">
        <v>5000</v>
      </c>
      <c r="M289" s="55" t="s">
        <v>186</v>
      </c>
      <c r="N289" s="57">
        <f t="shared" si="12"/>
        <v>0.54200000000000004</v>
      </c>
      <c r="O289" s="57">
        <f>+VLOOKUP(J289,TC!$B$6:$C$17,2,0)*PRECIOS!N289</f>
        <v>456.83528162336535</v>
      </c>
      <c r="P289" s="55" t="str">
        <f t="shared" si="13"/>
        <v>Si</v>
      </c>
      <c r="Q289" s="57">
        <f>+IF(I289=1,O289,IF(I289=2,O289/(1+MRI!$C$18),(O289/(1+MRI!$D$18))/(1+MRI!$C$18)))</f>
        <v>456.83528162336535</v>
      </c>
      <c r="R289" s="57">
        <f t="shared" si="14"/>
        <v>456.83528162336535</v>
      </c>
    </row>
    <row r="290" spans="1:18" x14ac:dyDescent="0.3">
      <c r="A290" s="42">
        <v>289</v>
      </c>
      <c r="B290" s="42" t="s">
        <v>38</v>
      </c>
      <c r="C290" s="42" t="s">
        <v>215</v>
      </c>
      <c r="D290" s="42" t="s">
        <v>182</v>
      </c>
      <c r="E290" s="42" t="s">
        <v>49</v>
      </c>
      <c r="F290" s="42" t="s">
        <v>9</v>
      </c>
      <c r="G290" s="42" t="s">
        <v>10</v>
      </c>
      <c r="H290" s="42" t="s">
        <v>13</v>
      </c>
      <c r="I290" s="42">
        <v>2</v>
      </c>
      <c r="J290" s="42" t="s">
        <v>12</v>
      </c>
      <c r="K290" s="43">
        <v>2126.54</v>
      </c>
      <c r="L290" s="42">
        <v>5000</v>
      </c>
      <c r="M290" s="42" t="s">
        <v>186</v>
      </c>
      <c r="N290" s="44">
        <f t="shared" si="12"/>
        <v>0.42530800000000002</v>
      </c>
      <c r="O290" s="44">
        <f>+VLOOKUP(J290,TC!$B$6:$C$17,2,0)*PRECIOS!N290</f>
        <v>358.47915121156876</v>
      </c>
      <c r="P290" s="42" t="str">
        <f t="shared" si="13"/>
        <v>No</v>
      </c>
      <c r="Q290" s="44">
        <f>+IF(I290=1,O290,IF(I290=2,O290/(1+MRI!$C$18),(O290/(1+MRI!$D$18))/(1+MRI!$C$18)))</f>
        <v>327.17205707049322</v>
      </c>
      <c r="R290" s="44" t="str">
        <f t="shared" si="14"/>
        <v/>
      </c>
    </row>
    <row r="291" spans="1:18" x14ac:dyDescent="0.3">
      <c r="A291" s="55">
        <v>290</v>
      </c>
      <c r="B291" s="55" t="s">
        <v>38</v>
      </c>
      <c r="C291" s="55" t="s">
        <v>215</v>
      </c>
      <c r="D291" s="55" t="s">
        <v>182</v>
      </c>
      <c r="E291" s="55" t="s">
        <v>72</v>
      </c>
      <c r="F291" s="55" t="s">
        <v>9</v>
      </c>
      <c r="G291" s="55" t="s">
        <v>10</v>
      </c>
      <c r="H291" s="55" t="s">
        <v>20</v>
      </c>
      <c r="I291" s="55">
        <v>3</v>
      </c>
      <c r="J291" s="55" t="s">
        <v>12</v>
      </c>
      <c r="K291" s="56">
        <v>524.69000000000005</v>
      </c>
      <c r="L291" s="55">
        <v>1000</v>
      </c>
      <c r="M291" s="55" t="s">
        <v>186</v>
      </c>
      <c r="N291" s="57">
        <f t="shared" si="12"/>
        <v>0.5246900000000001</v>
      </c>
      <c r="O291" s="57">
        <f>+VLOOKUP(J291,TC!$B$6:$C$17,2,0)*PRECIOS!N291</f>
        <v>442.24521017520959</v>
      </c>
      <c r="P291" s="55" t="str">
        <f t="shared" si="13"/>
        <v>No</v>
      </c>
      <c r="Q291" s="57">
        <f>+IF(I291=1,O291,IF(I291=2,O291/(1+MRI!$C$18),(O291/(1+MRI!$D$18))/(1+MRI!$C$18)))</f>
        <v>338.08303698003755</v>
      </c>
      <c r="R291" s="57" t="str">
        <f t="shared" si="14"/>
        <v/>
      </c>
    </row>
    <row r="292" spans="1:18" x14ac:dyDescent="0.3">
      <c r="A292" s="42">
        <v>291</v>
      </c>
      <c r="B292" s="42" t="s">
        <v>38</v>
      </c>
      <c r="C292" s="42" t="s">
        <v>215</v>
      </c>
      <c r="D292" s="42" t="s">
        <v>182</v>
      </c>
      <c r="E292" s="42" t="s">
        <v>72</v>
      </c>
      <c r="F292" s="42" t="s">
        <v>9</v>
      </c>
      <c r="G292" s="42" t="s">
        <v>10</v>
      </c>
      <c r="H292" s="42" t="s">
        <v>11</v>
      </c>
      <c r="I292" s="42">
        <v>1</v>
      </c>
      <c r="J292" s="42" t="s">
        <v>12</v>
      </c>
      <c r="K292" s="43">
        <v>379.54</v>
      </c>
      <c r="L292" s="42">
        <v>1000</v>
      </c>
      <c r="M292" s="42" t="s">
        <v>186</v>
      </c>
      <c r="N292" s="44">
        <f t="shared" si="12"/>
        <v>0.37954000000000004</v>
      </c>
      <c r="O292" s="44">
        <f>+VLOOKUP(J292,TC!$B$6:$C$17,2,0)*PRECIOS!N292</f>
        <v>319.90269886961642</v>
      </c>
      <c r="P292" s="42" t="str">
        <f t="shared" si="13"/>
        <v>Si</v>
      </c>
      <c r="Q292" s="44">
        <f>+IF(I292=1,O292,IF(I292=2,O292/(1+MRI!$C$18),(O292/(1+MRI!$D$18))/(1+MRI!$C$18)))</f>
        <v>319.90269886961642</v>
      </c>
      <c r="R292" s="44">
        <f t="shared" si="14"/>
        <v>319.90269886961642</v>
      </c>
    </row>
    <row r="293" spans="1:18" x14ac:dyDescent="0.3">
      <c r="A293" s="55">
        <v>292</v>
      </c>
      <c r="B293" s="55" t="s">
        <v>38</v>
      </c>
      <c r="C293" s="55" t="s">
        <v>215</v>
      </c>
      <c r="D293" s="55" t="s">
        <v>182</v>
      </c>
      <c r="E293" s="55" t="s">
        <v>72</v>
      </c>
      <c r="F293" s="55" t="s">
        <v>9</v>
      </c>
      <c r="G293" s="55" t="s">
        <v>10</v>
      </c>
      <c r="H293" s="55" t="s">
        <v>13</v>
      </c>
      <c r="I293" s="55">
        <v>2</v>
      </c>
      <c r="J293" s="55" t="s">
        <v>12</v>
      </c>
      <c r="K293" s="56">
        <v>297.83</v>
      </c>
      <c r="L293" s="55">
        <v>1000</v>
      </c>
      <c r="M293" s="55" t="s">
        <v>186</v>
      </c>
      <c r="N293" s="57">
        <f t="shared" si="12"/>
        <v>0.29782999999999998</v>
      </c>
      <c r="O293" s="57">
        <f>+VLOOKUP(J293,TC!$B$6:$C$17,2,0)*PRECIOS!N293</f>
        <v>251.03183012156254</v>
      </c>
      <c r="P293" s="55" t="str">
        <f t="shared" si="13"/>
        <v>No</v>
      </c>
      <c r="Q293" s="57">
        <f>+IF(I293=1,O293,IF(I293=2,O293/(1+MRI!$C$18),(O293/(1+MRI!$D$18))/(1+MRI!$C$18)))</f>
        <v>229.10844319247462</v>
      </c>
      <c r="R293" s="57" t="str">
        <f t="shared" si="14"/>
        <v/>
      </c>
    </row>
    <row r="294" spans="1:18" x14ac:dyDescent="0.3">
      <c r="A294" s="42">
        <v>293</v>
      </c>
      <c r="B294" s="42" t="s">
        <v>38</v>
      </c>
      <c r="C294" s="42" t="s">
        <v>215</v>
      </c>
      <c r="D294" s="42" t="s">
        <v>182</v>
      </c>
      <c r="E294" s="42" t="s">
        <v>77</v>
      </c>
      <c r="F294" s="42" t="s">
        <v>9</v>
      </c>
      <c r="G294" s="42" t="s">
        <v>10</v>
      </c>
      <c r="H294" s="42" t="s">
        <v>20</v>
      </c>
      <c r="I294" s="42">
        <v>3</v>
      </c>
      <c r="J294" s="42" t="s">
        <v>12</v>
      </c>
      <c r="K294" s="43">
        <v>11009.18</v>
      </c>
      <c r="L294" s="42">
        <v>20000</v>
      </c>
      <c r="M294" s="42" t="s">
        <v>186</v>
      </c>
      <c r="N294" s="44">
        <f t="shared" si="12"/>
        <v>0.55045900000000003</v>
      </c>
      <c r="O294" s="44">
        <f>+VLOOKUP(J294,TC!$B$6:$C$17,2,0)*PRECIOS!N294</f>
        <v>463.96511492087836</v>
      </c>
      <c r="P294" s="42" t="str">
        <f t="shared" si="13"/>
        <v>No</v>
      </c>
      <c r="Q294" s="44">
        <f>+IF(I294=1,O294,IF(I294=2,O294/(1+MRI!$C$18),(O294/(1+MRI!$D$18))/(1+MRI!$C$18)))</f>
        <v>354.68724475975233</v>
      </c>
      <c r="R294" s="44" t="str">
        <f t="shared" si="14"/>
        <v/>
      </c>
    </row>
    <row r="295" spans="1:18" x14ac:dyDescent="0.3">
      <c r="A295" s="55">
        <v>294</v>
      </c>
      <c r="B295" s="55" t="s">
        <v>38</v>
      </c>
      <c r="C295" s="55" t="s">
        <v>215</v>
      </c>
      <c r="D295" s="55" t="s">
        <v>182</v>
      </c>
      <c r="E295" s="55" t="s">
        <v>77</v>
      </c>
      <c r="F295" s="55" t="s">
        <v>9</v>
      </c>
      <c r="G295" s="55" t="s">
        <v>10</v>
      </c>
      <c r="H295" s="55" t="s">
        <v>11</v>
      </c>
      <c r="I295" s="55">
        <v>1</v>
      </c>
      <c r="J295" s="55" t="s">
        <v>12</v>
      </c>
      <c r="K295" s="56">
        <v>7963.58</v>
      </c>
      <c r="L295" s="55">
        <v>20000</v>
      </c>
      <c r="M295" s="55" t="s">
        <v>186</v>
      </c>
      <c r="N295" s="57">
        <f t="shared" si="12"/>
        <v>0.39817900000000001</v>
      </c>
      <c r="O295" s="57">
        <f>+VLOOKUP(J295,TC!$B$6:$C$17,2,0)*PRECIOS!N295</f>
        <v>335.61294391422507</v>
      </c>
      <c r="P295" s="55" t="str">
        <f t="shared" si="13"/>
        <v>Si</v>
      </c>
      <c r="Q295" s="57">
        <f>+IF(I295=1,O295,IF(I295=2,O295/(1+MRI!$C$18),(O295/(1+MRI!$D$18))/(1+MRI!$C$18)))</f>
        <v>335.61294391422507</v>
      </c>
      <c r="R295" s="57">
        <f t="shared" si="14"/>
        <v>335.61294391422507</v>
      </c>
    </row>
    <row r="296" spans="1:18" x14ac:dyDescent="0.3">
      <c r="A296" s="42">
        <v>295</v>
      </c>
      <c r="B296" s="42" t="s">
        <v>38</v>
      </c>
      <c r="C296" s="42" t="s">
        <v>215</v>
      </c>
      <c r="D296" s="42" t="s">
        <v>182</v>
      </c>
      <c r="E296" s="42" t="s">
        <v>77</v>
      </c>
      <c r="F296" s="42" t="s">
        <v>9</v>
      </c>
      <c r="G296" s="42" t="s">
        <v>10</v>
      </c>
      <c r="H296" s="42" t="s">
        <v>13</v>
      </c>
      <c r="I296" s="42">
        <v>2</v>
      </c>
      <c r="J296" s="42" t="s">
        <v>12</v>
      </c>
      <c r="K296" s="43">
        <v>6249.02</v>
      </c>
      <c r="L296" s="42">
        <v>20000</v>
      </c>
      <c r="M296" s="42" t="s">
        <v>186</v>
      </c>
      <c r="N296" s="44">
        <f t="shared" si="12"/>
        <v>0.31245100000000003</v>
      </c>
      <c r="O296" s="44">
        <f>+VLOOKUP(J296,TC!$B$6:$C$17,2,0)*PRECIOS!N296</f>
        <v>263.35542542159067</v>
      </c>
      <c r="P296" s="42" t="str">
        <f t="shared" si="13"/>
        <v>No</v>
      </c>
      <c r="Q296" s="44">
        <f>+IF(I296=1,O296,IF(I296=2,O296/(1+MRI!$C$18),(O296/(1+MRI!$D$18))/(1+MRI!$C$18)))</f>
        <v>240.35578076060807</v>
      </c>
      <c r="R296" s="44" t="str">
        <f t="shared" si="14"/>
        <v/>
      </c>
    </row>
    <row r="297" spans="1:18" x14ac:dyDescent="0.3">
      <c r="A297" s="55">
        <v>296</v>
      </c>
      <c r="B297" s="55" t="s">
        <v>38</v>
      </c>
      <c r="C297" s="55" t="s">
        <v>215</v>
      </c>
      <c r="D297" s="55" t="s">
        <v>182</v>
      </c>
      <c r="E297" s="55" t="s">
        <v>78</v>
      </c>
      <c r="F297" s="55" t="s">
        <v>9</v>
      </c>
      <c r="G297" s="55" t="s">
        <v>10</v>
      </c>
      <c r="H297" s="55" t="s">
        <v>20</v>
      </c>
      <c r="I297" s="55">
        <v>3</v>
      </c>
      <c r="J297" s="55" t="s">
        <v>12</v>
      </c>
      <c r="K297" s="56">
        <v>1376.94</v>
      </c>
      <c r="L297" s="55">
        <v>2500</v>
      </c>
      <c r="M297" s="55" t="s">
        <v>186</v>
      </c>
      <c r="N297" s="57">
        <f t="shared" si="12"/>
        <v>0.55077600000000004</v>
      </c>
      <c r="O297" s="57">
        <f>+VLOOKUP(J297,TC!$B$6:$C$17,2,0)*PRECIOS!N297</f>
        <v>464.23230455976142</v>
      </c>
      <c r="P297" s="55" t="str">
        <f t="shared" si="13"/>
        <v>No</v>
      </c>
      <c r="Q297" s="57">
        <f>+IF(I297=1,O297,IF(I297=2,O297/(1+MRI!$C$18),(O297/(1+MRI!$D$18))/(1+MRI!$C$18)))</f>
        <v>354.89150312702191</v>
      </c>
      <c r="R297" s="57" t="str">
        <f t="shared" si="14"/>
        <v/>
      </c>
    </row>
    <row r="298" spans="1:18" x14ac:dyDescent="0.3">
      <c r="A298" s="42">
        <v>297</v>
      </c>
      <c r="B298" s="42" t="s">
        <v>38</v>
      </c>
      <c r="C298" s="42" t="s">
        <v>215</v>
      </c>
      <c r="D298" s="42" t="s">
        <v>182</v>
      </c>
      <c r="E298" s="42" t="s">
        <v>78</v>
      </c>
      <c r="F298" s="42" t="s">
        <v>9</v>
      </c>
      <c r="G298" s="42" t="s">
        <v>10</v>
      </c>
      <c r="H298" s="42" t="s">
        <v>11</v>
      </c>
      <c r="I298" s="42">
        <v>1</v>
      </c>
      <c r="J298" s="42" t="s">
        <v>12</v>
      </c>
      <c r="K298" s="43">
        <v>996.02</v>
      </c>
      <c r="L298" s="42">
        <v>2500</v>
      </c>
      <c r="M298" s="42" t="s">
        <v>186</v>
      </c>
      <c r="N298" s="44">
        <f t="shared" si="12"/>
        <v>0.39840799999999998</v>
      </c>
      <c r="O298" s="44">
        <f>+VLOOKUP(J298,TC!$B$6:$C$17,2,0)*PRECIOS!N298</f>
        <v>335.80596103505854</v>
      </c>
      <c r="P298" s="42" t="str">
        <f t="shared" si="13"/>
        <v>Si</v>
      </c>
      <c r="Q298" s="44">
        <f>+IF(I298=1,O298,IF(I298=2,O298/(1+MRI!$C$18),(O298/(1+MRI!$D$18))/(1+MRI!$C$18)))</f>
        <v>335.80596103505854</v>
      </c>
      <c r="R298" s="44">
        <f t="shared" si="14"/>
        <v>335.80596103505854</v>
      </c>
    </row>
    <row r="299" spans="1:18" x14ac:dyDescent="0.3">
      <c r="A299" s="55">
        <v>298</v>
      </c>
      <c r="B299" s="55" t="s">
        <v>38</v>
      </c>
      <c r="C299" s="55" t="s">
        <v>215</v>
      </c>
      <c r="D299" s="55" t="s">
        <v>182</v>
      </c>
      <c r="E299" s="55" t="s">
        <v>78</v>
      </c>
      <c r="F299" s="55" t="s">
        <v>9</v>
      </c>
      <c r="G299" s="55" t="s">
        <v>10</v>
      </c>
      <c r="H299" s="55" t="s">
        <v>13</v>
      </c>
      <c r="I299" s="55">
        <v>2</v>
      </c>
      <c r="J299" s="55" t="s">
        <v>12</v>
      </c>
      <c r="K299" s="56">
        <v>781.58</v>
      </c>
      <c r="L299" s="55">
        <v>2500</v>
      </c>
      <c r="M299" s="55" t="s">
        <v>186</v>
      </c>
      <c r="N299" s="57">
        <f t="shared" si="12"/>
        <v>0.31263200000000002</v>
      </c>
      <c r="O299" s="57">
        <f>+VLOOKUP(J299,TC!$B$6:$C$17,2,0)*PRECIOS!N299</f>
        <v>263.50798480530619</v>
      </c>
      <c r="P299" s="55" t="str">
        <f t="shared" si="13"/>
        <v>No</v>
      </c>
      <c r="Q299" s="57">
        <f>+IF(I299=1,O299,IF(I299=2,O299/(1+MRI!$C$18),(O299/(1+MRI!$D$18))/(1+MRI!$C$18)))</f>
        <v>240.49501666101378</v>
      </c>
      <c r="R299" s="57" t="str">
        <f t="shared" si="14"/>
        <v/>
      </c>
    </row>
    <row r="300" spans="1:18" x14ac:dyDescent="0.3">
      <c r="A300" s="42">
        <v>299</v>
      </c>
      <c r="B300" s="42" t="s">
        <v>38</v>
      </c>
      <c r="C300" s="42" t="s">
        <v>215</v>
      </c>
      <c r="D300" s="42" t="s">
        <v>182</v>
      </c>
      <c r="E300" s="42" t="s">
        <v>79</v>
      </c>
      <c r="F300" s="42" t="s">
        <v>9</v>
      </c>
      <c r="G300" s="42" t="s">
        <v>10</v>
      </c>
      <c r="H300" s="42" t="s">
        <v>20</v>
      </c>
      <c r="I300" s="42">
        <v>3</v>
      </c>
      <c r="J300" s="42" t="s">
        <v>12</v>
      </c>
      <c r="K300" s="43">
        <v>3746.42</v>
      </c>
      <c r="L300" s="42">
        <v>5000</v>
      </c>
      <c r="M300" s="42" t="s">
        <v>186</v>
      </c>
      <c r="N300" s="44">
        <f t="shared" si="12"/>
        <v>0.74928400000000006</v>
      </c>
      <c r="O300" s="44">
        <f>+VLOOKUP(J300,TC!$B$6:$C$17,2,0)*PRECIOS!N300</f>
        <v>631.5486478890806</v>
      </c>
      <c r="P300" s="42" t="str">
        <f t="shared" si="13"/>
        <v>No</v>
      </c>
      <c r="Q300" s="44">
        <f>+IF(I300=1,O300,IF(I300=2,O300/(1+MRI!$C$18),(O300/(1+MRI!$D$18))/(1+MRI!$C$18)))</f>
        <v>482.79976801644858</v>
      </c>
      <c r="R300" s="44" t="str">
        <f t="shared" si="14"/>
        <v/>
      </c>
    </row>
    <row r="301" spans="1:18" x14ac:dyDescent="0.3">
      <c r="A301" s="55">
        <v>300</v>
      </c>
      <c r="B301" s="55" t="s">
        <v>38</v>
      </c>
      <c r="C301" s="55" t="s">
        <v>215</v>
      </c>
      <c r="D301" s="55" t="s">
        <v>182</v>
      </c>
      <c r="E301" s="55" t="s">
        <v>79</v>
      </c>
      <c r="F301" s="55" t="s">
        <v>9</v>
      </c>
      <c r="G301" s="55" t="s">
        <v>10</v>
      </c>
      <c r="H301" s="55" t="s">
        <v>11</v>
      </c>
      <c r="I301" s="55">
        <v>1</v>
      </c>
      <c r="J301" s="55" t="s">
        <v>12</v>
      </c>
      <c r="K301" s="56">
        <v>2710</v>
      </c>
      <c r="L301" s="55">
        <v>5000</v>
      </c>
      <c r="M301" s="55" t="s">
        <v>186</v>
      </c>
      <c r="N301" s="57">
        <f t="shared" si="12"/>
        <v>0.54200000000000004</v>
      </c>
      <c r="O301" s="57">
        <f>+VLOOKUP(J301,TC!$B$6:$C$17,2,0)*PRECIOS!N301</f>
        <v>456.83528162336535</v>
      </c>
      <c r="P301" s="55" t="str">
        <f t="shared" si="13"/>
        <v>Si</v>
      </c>
      <c r="Q301" s="57">
        <f>+IF(I301=1,O301,IF(I301=2,O301/(1+MRI!$C$18),(O301/(1+MRI!$D$18))/(1+MRI!$C$18)))</f>
        <v>456.83528162336535</v>
      </c>
      <c r="R301" s="57">
        <f t="shared" si="14"/>
        <v>456.83528162336535</v>
      </c>
    </row>
    <row r="302" spans="1:18" x14ac:dyDescent="0.3">
      <c r="A302" s="42">
        <v>301</v>
      </c>
      <c r="B302" s="42" t="s">
        <v>38</v>
      </c>
      <c r="C302" s="42" t="s">
        <v>215</v>
      </c>
      <c r="D302" s="42" t="s">
        <v>182</v>
      </c>
      <c r="E302" s="42" t="s">
        <v>79</v>
      </c>
      <c r="F302" s="42" t="s">
        <v>9</v>
      </c>
      <c r="G302" s="42" t="s">
        <v>10</v>
      </c>
      <c r="H302" s="42" t="s">
        <v>13</v>
      </c>
      <c r="I302" s="42">
        <v>2</v>
      </c>
      <c r="J302" s="42" t="s">
        <v>12</v>
      </c>
      <c r="K302" s="43">
        <v>2126.54</v>
      </c>
      <c r="L302" s="42">
        <v>5000</v>
      </c>
      <c r="M302" s="42" t="s">
        <v>186</v>
      </c>
      <c r="N302" s="44">
        <f t="shared" si="12"/>
        <v>0.42530800000000002</v>
      </c>
      <c r="O302" s="44">
        <f>+VLOOKUP(J302,TC!$B$6:$C$17,2,0)*PRECIOS!N302</f>
        <v>358.47915121156876</v>
      </c>
      <c r="P302" s="42" t="str">
        <f t="shared" si="13"/>
        <v>No</v>
      </c>
      <c r="Q302" s="44">
        <f>+IF(I302=1,O302,IF(I302=2,O302/(1+MRI!$C$18),(O302/(1+MRI!$D$18))/(1+MRI!$C$18)))</f>
        <v>327.17205707049322</v>
      </c>
      <c r="R302" s="44" t="str">
        <f t="shared" si="14"/>
        <v/>
      </c>
    </row>
    <row r="303" spans="1:18" x14ac:dyDescent="0.3">
      <c r="A303" s="55">
        <v>302</v>
      </c>
      <c r="B303" s="55" t="s">
        <v>38</v>
      </c>
      <c r="C303" s="55" t="s">
        <v>215</v>
      </c>
      <c r="D303" s="55" t="s">
        <v>182</v>
      </c>
      <c r="E303" s="55" t="s">
        <v>70</v>
      </c>
      <c r="F303" s="55" t="s">
        <v>9</v>
      </c>
      <c r="G303" s="55" t="s">
        <v>10</v>
      </c>
      <c r="H303" s="55" t="s">
        <v>20</v>
      </c>
      <c r="I303" s="55">
        <v>3</v>
      </c>
      <c r="J303" s="55" t="s">
        <v>12</v>
      </c>
      <c r="K303" s="56">
        <v>325.2</v>
      </c>
      <c r="L303" s="55">
        <v>1000</v>
      </c>
      <c r="M303" s="55" t="s">
        <v>186</v>
      </c>
      <c r="N303" s="57">
        <f t="shared" si="12"/>
        <v>0.32519999999999999</v>
      </c>
      <c r="O303" s="57">
        <f>+VLOOKUP(J303,TC!$B$6:$C$17,2,0)*PRECIOS!N303</f>
        <v>274.10116897401917</v>
      </c>
      <c r="P303" s="55" t="str">
        <f t="shared" si="13"/>
        <v>No</v>
      </c>
      <c r="Q303" s="57">
        <f>+IF(I303=1,O303,IF(I303=2,O303/(1+MRI!$C$18),(O303/(1+MRI!$D$18))/(1+MRI!$C$18)))</f>
        <v>209.54202219578832</v>
      </c>
      <c r="R303" s="57" t="str">
        <f t="shared" si="14"/>
        <v/>
      </c>
    </row>
    <row r="304" spans="1:18" x14ac:dyDescent="0.3">
      <c r="A304" s="42">
        <v>303</v>
      </c>
      <c r="B304" s="42" t="s">
        <v>38</v>
      </c>
      <c r="C304" s="42" t="s">
        <v>215</v>
      </c>
      <c r="D304" s="42" t="s">
        <v>182</v>
      </c>
      <c r="E304" s="42" t="s">
        <v>70</v>
      </c>
      <c r="F304" s="42" t="s">
        <v>9</v>
      </c>
      <c r="G304" s="42" t="s">
        <v>10</v>
      </c>
      <c r="H304" s="42" t="s">
        <v>11</v>
      </c>
      <c r="I304" s="42">
        <v>1</v>
      </c>
      <c r="J304" s="42" t="s">
        <v>12</v>
      </c>
      <c r="K304" s="43">
        <v>240.72</v>
      </c>
      <c r="L304" s="42">
        <v>1000</v>
      </c>
      <c r="M304" s="42" t="s">
        <v>186</v>
      </c>
      <c r="N304" s="44">
        <f t="shared" si="12"/>
        <v>0.24071999999999999</v>
      </c>
      <c r="O304" s="44">
        <f>+VLOOKUP(J304,TC!$B$6:$C$17,2,0)*PRECIOS!N304</f>
        <v>202.89555164645111</v>
      </c>
      <c r="P304" s="42" t="str">
        <f t="shared" si="13"/>
        <v>Si</v>
      </c>
      <c r="Q304" s="44">
        <f>+IF(I304=1,O304,IF(I304=2,O304/(1+MRI!$C$18),(O304/(1+MRI!$D$18))/(1+MRI!$C$18)))</f>
        <v>202.89555164645111</v>
      </c>
      <c r="R304" s="44">
        <f t="shared" si="14"/>
        <v>202.89555164645111</v>
      </c>
    </row>
    <row r="305" spans="1:18" x14ac:dyDescent="0.3">
      <c r="A305" s="55">
        <v>304</v>
      </c>
      <c r="B305" s="55" t="s">
        <v>38</v>
      </c>
      <c r="C305" s="55" t="s">
        <v>215</v>
      </c>
      <c r="D305" s="55" t="s">
        <v>182</v>
      </c>
      <c r="E305" s="55" t="s">
        <v>70</v>
      </c>
      <c r="F305" s="55" t="s">
        <v>9</v>
      </c>
      <c r="G305" s="55" t="s">
        <v>10</v>
      </c>
      <c r="H305" s="55" t="s">
        <v>13</v>
      </c>
      <c r="I305" s="55">
        <v>2</v>
      </c>
      <c r="J305" s="55" t="s">
        <v>12</v>
      </c>
      <c r="K305" s="56">
        <v>188.89</v>
      </c>
      <c r="L305" s="55">
        <v>1000</v>
      </c>
      <c r="M305" s="55" t="s">
        <v>186</v>
      </c>
      <c r="N305" s="57">
        <f t="shared" si="12"/>
        <v>0.18888999999999997</v>
      </c>
      <c r="O305" s="57">
        <f>+VLOOKUP(J305,TC!$B$6:$C$17,2,0)*PRECIOS!N305</f>
        <v>159.20962425431267</v>
      </c>
      <c r="P305" s="55" t="str">
        <f t="shared" si="13"/>
        <v>No</v>
      </c>
      <c r="Q305" s="57">
        <f>+IF(I305=1,O305,IF(I305=2,O305/(1+MRI!$C$18),(O305/(1+MRI!$D$18))/(1+MRI!$C$18)))</f>
        <v>145.30535484882827</v>
      </c>
      <c r="R305" s="57" t="str">
        <f t="shared" si="14"/>
        <v/>
      </c>
    </row>
    <row r="306" spans="1:18" x14ac:dyDescent="0.3">
      <c r="A306" s="42">
        <v>305</v>
      </c>
      <c r="B306" s="42" t="s">
        <v>38</v>
      </c>
      <c r="C306" s="42" t="s">
        <v>215</v>
      </c>
      <c r="D306" s="42" t="s">
        <v>182</v>
      </c>
      <c r="E306" s="42" t="s">
        <v>69</v>
      </c>
      <c r="F306" s="42" t="s">
        <v>9</v>
      </c>
      <c r="G306" s="42" t="s">
        <v>10</v>
      </c>
      <c r="H306" s="42" t="s">
        <v>20</v>
      </c>
      <c r="I306" s="42">
        <v>3</v>
      </c>
      <c r="J306" s="42" t="s">
        <v>12</v>
      </c>
      <c r="K306" s="43">
        <v>704.72</v>
      </c>
      <c r="L306" s="42">
        <v>2500</v>
      </c>
      <c r="M306" s="42" t="s">
        <v>186</v>
      </c>
      <c r="N306" s="44">
        <f t="shared" si="12"/>
        <v>0.28188800000000003</v>
      </c>
      <c r="O306" s="44">
        <f>+VLOOKUP(J306,TC!$B$6:$C$17,2,0)*PRECIOS!N306</f>
        <v>237.59480418126793</v>
      </c>
      <c r="P306" s="42" t="str">
        <f t="shared" si="13"/>
        <v>No</v>
      </c>
      <c r="Q306" s="44">
        <f>+IF(I306=1,O306,IF(I306=2,O306/(1+MRI!$C$18),(O306/(1+MRI!$D$18))/(1+MRI!$C$18)))</f>
        <v>181.6340146147798</v>
      </c>
      <c r="R306" s="44" t="str">
        <f t="shared" si="14"/>
        <v/>
      </c>
    </row>
    <row r="307" spans="1:18" x14ac:dyDescent="0.3">
      <c r="A307" s="55">
        <v>306</v>
      </c>
      <c r="B307" s="55" t="s">
        <v>38</v>
      </c>
      <c r="C307" s="55" t="s">
        <v>215</v>
      </c>
      <c r="D307" s="55" t="s">
        <v>182</v>
      </c>
      <c r="E307" s="55" t="s">
        <v>69</v>
      </c>
      <c r="F307" s="55" t="s">
        <v>9</v>
      </c>
      <c r="G307" s="55" t="s">
        <v>10</v>
      </c>
      <c r="H307" s="55" t="s">
        <v>11</v>
      </c>
      <c r="I307" s="55">
        <v>1</v>
      </c>
      <c r="J307" s="55" t="s">
        <v>12</v>
      </c>
      <c r="K307" s="56">
        <v>521.64</v>
      </c>
      <c r="L307" s="55">
        <v>2500</v>
      </c>
      <c r="M307" s="55" t="s">
        <v>186</v>
      </c>
      <c r="N307" s="57">
        <f t="shared" si="12"/>
        <v>0.20865600000000001</v>
      </c>
      <c r="O307" s="57">
        <f>+VLOOKUP(J307,TC!$B$6:$C$17,2,0)*PRECIOS!N307</f>
        <v>175.86978325166959</v>
      </c>
      <c r="P307" s="55" t="str">
        <f t="shared" si="13"/>
        <v>Si</v>
      </c>
      <c r="Q307" s="57">
        <f>+IF(I307=1,O307,IF(I307=2,O307/(1+MRI!$C$18),(O307/(1+MRI!$D$18))/(1+MRI!$C$18)))</f>
        <v>175.86978325166959</v>
      </c>
      <c r="R307" s="57">
        <f t="shared" si="14"/>
        <v>175.86978325166959</v>
      </c>
    </row>
    <row r="308" spans="1:18" x14ac:dyDescent="0.3">
      <c r="A308" s="42">
        <v>307</v>
      </c>
      <c r="B308" s="42" t="s">
        <v>38</v>
      </c>
      <c r="C308" s="42" t="s">
        <v>215</v>
      </c>
      <c r="D308" s="42" t="s">
        <v>182</v>
      </c>
      <c r="E308" s="42" t="s">
        <v>69</v>
      </c>
      <c r="F308" s="42" t="s">
        <v>9</v>
      </c>
      <c r="G308" s="42" t="s">
        <v>10</v>
      </c>
      <c r="H308" s="42" t="s">
        <v>13</v>
      </c>
      <c r="I308" s="42">
        <v>2</v>
      </c>
      <c r="J308" s="42" t="s">
        <v>12</v>
      </c>
      <c r="K308" s="43">
        <v>409.33</v>
      </c>
      <c r="L308" s="42">
        <v>2500</v>
      </c>
      <c r="M308" s="42" t="s">
        <v>186</v>
      </c>
      <c r="N308" s="44">
        <f t="shared" si="12"/>
        <v>0.16373199999999999</v>
      </c>
      <c r="O308" s="44">
        <f>+VLOOKUP(J308,TC!$B$6:$C$17,2,0)*PRECIOS!N308</f>
        <v>138.00471278737425</v>
      </c>
      <c r="P308" s="42" t="str">
        <f t="shared" si="13"/>
        <v>No</v>
      </c>
      <c r="Q308" s="44">
        <f>+IF(I308=1,O308,IF(I308=2,O308/(1+MRI!$C$18),(O308/(1+MRI!$D$18))/(1+MRI!$C$18)))</f>
        <v>125.95233395155039</v>
      </c>
      <c r="R308" s="44" t="str">
        <f t="shared" si="14"/>
        <v/>
      </c>
    </row>
    <row r="309" spans="1:18" x14ac:dyDescent="0.3">
      <c r="A309" s="55">
        <v>308</v>
      </c>
      <c r="B309" s="55" t="s">
        <v>38</v>
      </c>
      <c r="C309" s="55" t="s">
        <v>215</v>
      </c>
      <c r="D309" s="55" t="s">
        <v>182</v>
      </c>
      <c r="E309" s="55" t="s">
        <v>68</v>
      </c>
      <c r="F309" s="55" t="s">
        <v>9</v>
      </c>
      <c r="G309" s="55" t="s">
        <v>10</v>
      </c>
      <c r="H309" s="55" t="s">
        <v>20</v>
      </c>
      <c r="I309" s="55">
        <v>3</v>
      </c>
      <c r="J309" s="55" t="s">
        <v>12</v>
      </c>
      <c r="K309" s="56">
        <v>3746.42</v>
      </c>
      <c r="L309" s="55">
        <v>5000</v>
      </c>
      <c r="M309" s="55" t="s">
        <v>186</v>
      </c>
      <c r="N309" s="57">
        <f t="shared" si="12"/>
        <v>0.74928400000000006</v>
      </c>
      <c r="O309" s="57">
        <f>+VLOOKUP(J309,TC!$B$6:$C$17,2,0)*PRECIOS!N309</f>
        <v>631.5486478890806</v>
      </c>
      <c r="P309" s="55" t="str">
        <f t="shared" si="13"/>
        <v>No</v>
      </c>
      <c r="Q309" s="57">
        <f>+IF(I309=1,O309,IF(I309=2,O309/(1+MRI!$C$18),(O309/(1+MRI!$D$18))/(1+MRI!$C$18)))</f>
        <v>482.79976801644858</v>
      </c>
      <c r="R309" s="57" t="str">
        <f t="shared" si="14"/>
        <v/>
      </c>
    </row>
    <row r="310" spans="1:18" x14ac:dyDescent="0.3">
      <c r="A310" s="42">
        <v>309</v>
      </c>
      <c r="B310" s="42" t="s">
        <v>38</v>
      </c>
      <c r="C310" s="42" t="s">
        <v>215</v>
      </c>
      <c r="D310" s="42" t="s">
        <v>182</v>
      </c>
      <c r="E310" s="42" t="s">
        <v>68</v>
      </c>
      <c r="F310" s="42" t="s">
        <v>9</v>
      </c>
      <c r="G310" s="42" t="s">
        <v>10</v>
      </c>
      <c r="H310" s="42" t="s">
        <v>11</v>
      </c>
      <c r="I310" s="42">
        <v>1</v>
      </c>
      <c r="J310" s="42" t="s">
        <v>12</v>
      </c>
      <c r="K310" s="43">
        <v>2710</v>
      </c>
      <c r="L310" s="42">
        <v>5000</v>
      </c>
      <c r="M310" s="42" t="s">
        <v>186</v>
      </c>
      <c r="N310" s="44">
        <f t="shared" si="12"/>
        <v>0.54200000000000004</v>
      </c>
      <c r="O310" s="44">
        <f>+VLOOKUP(J310,TC!$B$6:$C$17,2,0)*PRECIOS!N310</f>
        <v>456.83528162336535</v>
      </c>
      <c r="P310" s="42" t="str">
        <f t="shared" si="13"/>
        <v>Si</v>
      </c>
      <c r="Q310" s="44">
        <f>+IF(I310=1,O310,IF(I310=2,O310/(1+MRI!$C$18),(O310/(1+MRI!$D$18))/(1+MRI!$C$18)))</f>
        <v>456.83528162336535</v>
      </c>
      <c r="R310" s="44">
        <f t="shared" si="14"/>
        <v>456.83528162336535</v>
      </c>
    </row>
    <row r="311" spans="1:18" x14ac:dyDescent="0.3">
      <c r="A311" s="55">
        <v>310</v>
      </c>
      <c r="B311" s="55" t="s">
        <v>38</v>
      </c>
      <c r="C311" s="55" t="s">
        <v>215</v>
      </c>
      <c r="D311" s="55" t="s">
        <v>182</v>
      </c>
      <c r="E311" s="55" t="s">
        <v>68</v>
      </c>
      <c r="F311" s="55" t="s">
        <v>9</v>
      </c>
      <c r="G311" s="55" t="s">
        <v>10</v>
      </c>
      <c r="H311" s="55" t="s">
        <v>13</v>
      </c>
      <c r="I311" s="55">
        <v>2</v>
      </c>
      <c r="J311" s="55" t="s">
        <v>12</v>
      </c>
      <c r="K311" s="56">
        <v>2126.54</v>
      </c>
      <c r="L311" s="55">
        <v>5000</v>
      </c>
      <c r="M311" s="55" t="s">
        <v>186</v>
      </c>
      <c r="N311" s="57">
        <f t="shared" si="12"/>
        <v>0.42530800000000002</v>
      </c>
      <c r="O311" s="57">
        <f>+VLOOKUP(J311,TC!$B$6:$C$17,2,0)*PRECIOS!N311</f>
        <v>358.47915121156876</v>
      </c>
      <c r="P311" s="55" t="str">
        <f t="shared" si="13"/>
        <v>No</v>
      </c>
      <c r="Q311" s="57">
        <f>+IF(I311=1,O311,IF(I311=2,O311/(1+MRI!$C$18),(O311/(1+MRI!$D$18))/(1+MRI!$C$18)))</f>
        <v>327.17205707049322</v>
      </c>
      <c r="R311" s="57" t="str">
        <f t="shared" si="14"/>
        <v/>
      </c>
    </row>
    <row r="312" spans="1:18" x14ac:dyDescent="0.3">
      <c r="A312" s="42">
        <v>311</v>
      </c>
      <c r="B312" s="42" t="s">
        <v>38</v>
      </c>
      <c r="C312" s="42" t="s">
        <v>215</v>
      </c>
      <c r="D312" s="42" t="s">
        <v>182</v>
      </c>
      <c r="E312" s="42" t="s">
        <v>66</v>
      </c>
      <c r="F312" s="42" t="s">
        <v>9</v>
      </c>
      <c r="G312" s="42" t="s">
        <v>10</v>
      </c>
      <c r="H312" s="42" t="s">
        <v>20</v>
      </c>
      <c r="I312" s="42">
        <v>3</v>
      </c>
      <c r="J312" s="42" t="s">
        <v>12</v>
      </c>
      <c r="K312" s="43">
        <v>904.01</v>
      </c>
      <c r="L312" s="42">
        <v>2500</v>
      </c>
      <c r="M312" s="42" t="s">
        <v>186</v>
      </c>
      <c r="N312" s="44">
        <f t="shared" si="12"/>
        <v>0.36160399999999998</v>
      </c>
      <c r="O312" s="44">
        <f>+VLOOKUP(J312,TC!$B$6:$C$17,2,0)*PRECIOS!N312</f>
        <v>304.78499109988081</v>
      </c>
      <c r="P312" s="42" t="str">
        <f t="shared" si="13"/>
        <v>No</v>
      </c>
      <c r="Q312" s="44">
        <f>+IF(I312=1,O312,IF(I312=2,O312/(1+MRI!$C$18),(O312/(1+MRI!$D$18))/(1+MRI!$C$18)))</f>
        <v>232.99887267554072</v>
      </c>
      <c r="R312" s="44" t="str">
        <f t="shared" si="14"/>
        <v/>
      </c>
    </row>
    <row r="313" spans="1:18" x14ac:dyDescent="0.3">
      <c r="A313" s="55">
        <v>312</v>
      </c>
      <c r="B313" s="55" t="s">
        <v>38</v>
      </c>
      <c r="C313" s="55" t="s">
        <v>215</v>
      </c>
      <c r="D313" s="55" t="s">
        <v>182</v>
      </c>
      <c r="E313" s="55" t="s">
        <v>66</v>
      </c>
      <c r="F313" s="55" t="s">
        <v>9</v>
      </c>
      <c r="G313" s="55" t="s">
        <v>10</v>
      </c>
      <c r="H313" s="55" t="s">
        <v>11</v>
      </c>
      <c r="I313" s="55">
        <v>1</v>
      </c>
      <c r="J313" s="55" t="s">
        <v>12</v>
      </c>
      <c r="K313" s="56">
        <v>653.91999999999996</v>
      </c>
      <c r="L313" s="55">
        <v>2500</v>
      </c>
      <c r="M313" s="55" t="s">
        <v>186</v>
      </c>
      <c r="N313" s="57">
        <f t="shared" si="12"/>
        <v>0.26156799999999997</v>
      </c>
      <c r="O313" s="57">
        <f>+VLOOKUP(J313,TC!$B$6:$C$17,2,0)*PRECIOS!N313</f>
        <v>220.46769546800812</v>
      </c>
      <c r="P313" s="55" t="str">
        <f t="shared" si="13"/>
        <v>Si</v>
      </c>
      <c r="Q313" s="57">
        <f>+IF(I313=1,O313,IF(I313=2,O313/(1+MRI!$C$18),(O313/(1+MRI!$D$18))/(1+MRI!$C$18)))</f>
        <v>220.46769546800812</v>
      </c>
      <c r="R313" s="57">
        <f t="shared" si="14"/>
        <v>220.46769546800812</v>
      </c>
    </row>
    <row r="314" spans="1:18" x14ac:dyDescent="0.3">
      <c r="A314" s="42">
        <v>313</v>
      </c>
      <c r="B314" s="42" t="s">
        <v>38</v>
      </c>
      <c r="C314" s="42" t="s">
        <v>215</v>
      </c>
      <c r="D314" s="42" t="s">
        <v>182</v>
      </c>
      <c r="E314" s="42" t="s">
        <v>66</v>
      </c>
      <c r="F314" s="42" t="s">
        <v>9</v>
      </c>
      <c r="G314" s="42" t="s">
        <v>10</v>
      </c>
      <c r="H314" s="42" t="s">
        <v>13</v>
      </c>
      <c r="I314" s="42">
        <v>2</v>
      </c>
      <c r="J314" s="42" t="s">
        <v>12</v>
      </c>
      <c r="K314" s="43">
        <v>513.13</v>
      </c>
      <c r="L314" s="42">
        <v>2500</v>
      </c>
      <c r="M314" s="42" t="s">
        <v>186</v>
      </c>
      <c r="N314" s="44">
        <f t="shared" si="12"/>
        <v>0.20525199999999999</v>
      </c>
      <c r="O314" s="44">
        <f>+VLOOKUP(J314,TC!$B$6:$C$17,2,0)*PRECIOS!N314</f>
        <v>173.00065539438924</v>
      </c>
      <c r="P314" s="42" t="str">
        <f t="shared" si="13"/>
        <v>No</v>
      </c>
      <c r="Q314" s="44">
        <f>+IF(I314=1,O314,IF(I314=2,O314/(1+MRI!$C$18),(O314/(1+MRI!$D$18))/(1+MRI!$C$18)))</f>
        <v>157.89197254185876</v>
      </c>
      <c r="R314" s="44" t="str">
        <f t="shared" si="14"/>
        <v/>
      </c>
    </row>
    <row r="315" spans="1:18" x14ac:dyDescent="0.3">
      <c r="A315" s="55">
        <v>314</v>
      </c>
      <c r="B315" s="55" t="s">
        <v>38</v>
      </c>
      <c r="C315" s="55" t="s">
        <v>215</v>
      </c>
      <c r="D315" s="55" t="s">
        <v>182</v>
      </c>
      <c r="E315" s="55" t="s">
        <v>67</v>
      </c>
      <c r="F315" s="55" t="s">
        <v>9</v>
      </c>
      <c r="G315" s="55" t="s">
        <v>10</v>
      </c>
      <c r="H315" s="55" t="s">
        <v>20</v>
      </c>
      <c r="I315" s="55">
        <v>3</v>
      </c>
      <c r="J315" s="55" t="s">
        <v>12</v>
      </c>
      <c r="K315" s="56">
        <v>3746.42</v>
      </c>
      <c r="L315" s="55">
        <v>5000</v>
      </c>
      <c r="M315" s="55" t="s">
        <v>186</v>
      </c>
      <c r="N315" s="57">
        <f t="shared" si="12"/>
        <v>0.74928400000000006</v>
      </c>
      <c r="O315" s="57">
        <f>+VLOOKUP(J315,TC!$B$6:$C$17,2,0)*PRECIOS!N315</f>
        <v>631.5486478890806</v>
      </c>
      <c r="P315" s="55" t="str">
        <f t="shared" si="13"/>
        <v>No</v>
      </c>
      <c r="Q315" s="57">
        <f>+IF(I315=1,O315,IF(I315=2,O315/(1+MRI!$C$18),(O315/(1+MRI!$D$18))/(1+MRI!$C$18)))</f>
        <v>482.79976801644858</v>
      </c>
      <c r="R315" s="57" t="str">
        <f t="shared" si="14"/>
        <v/>
      </c>
    </row>
    <row r="316" spans="1:18" x14ac:dyDescent="0.3">
      <c r="A316" s="42">
        <v>315</v>
      </c>
      <c r="B316" s="42" t="s">
        <v>38</v>
      </c>
      <c r="C316" s="42" t="s">
        <v>215</v>
      </c>
      <c r="D316" s="42" t="s">
        <v>182</v>
      </c>
      <c r="E316" s="42" t="s">
        <v>67</v>
      </c>
      <c r="F316" s="42" t="s">
        <v>9</v>
      </c>
      <c r="G316" s="42" t="s">
        <v>10</v>
      </c>
      <c r="H316" s="42" t="s">
        <v>11</v>
      </c>
      <c r="I316" s="42">
        <v>1</v>
      </c>
      <c r="J316" s="42" t="s">
        <v>12</v>
      </c>
      <c r="K316" s="43">
        <v>2710</v>
      </c>
      <c r="L316" s="42">
        <v>5000</v>
      </c>
      <c r="M316" s="42" t="s">
        <v>186</v>
      </c>
      <c r="N316" s="44">
        <f t="shared" si="12"/>
        <v>0.54200000000000004</v>
      </c>
      <c r="O316" s="44">
        <f>+VLOOKUP(J316,TC!$B$6:$C$17,2,0)*PRECIOS!N316</f>
        <v>456.83528162336535</v>
      </c>
      <c r="P316" s="42" t="str">
        <f t="shared" si="13"/>
        <v>Si</v>
      </c>
      <c r="Q316" s="44">
        <f>+IF(I316=1,O316,IF(I316=2,O316/(1+MRI!$C$18),(O316/(1+MRI!$D$18))/(1+MRI!$C$18)))</f>
        <v>456.83528162336535</v>
      </c>
      <c r="R316" s="44">
        <f t="shared" si="14"/>
        <v>456.83528162336535</v>
      </c>
    </row>
    <row r="317" spans="1:18" x14ac:dyDescent="0.3">
      <c r="A317" s="55">
        <v>316</v>
      </c>
      <c r="B317" s="55" t="s">
        <v>38</v>
      </c>
      <c r="C317" s="55" t="s">
        <v>215</v>
      </c>
      <c r="D317" s="55" t="s">
        <v>182</v>
      </c>
      <c r="E317" s="55" t="s">
        <v>67</v>
      </c>
      <c r="F317" s="55" t="s">
        <v>9</v>
      </c>
      <c r="G317" s="55" t="s">
        <v>10</v>
      </c>
      <c r="H317" s="55" t="s">
        <v>13</v>
      </c>
      <c r="I317" s="55">
        <v>2</v>
      </c>
      <c r="J317" s="55" t="s">
        <v>12</v>
      </c>
      <c r="K317" s="56">
        <v>2126.54</v>
      </c>
      <c r="L317" s="55">
        <v>5000</v>
      </c>
      <c r="M317" s="55" t="s">
        <v>186</v>
      </c>
      <c r="N317" s="57">
        <f t="shared" si="12"/>
        <v>0.42530800000000002</v>
      </c>
      <c r="O317" s="57">
        <f>+VLOOKUP(J317,TC!$B$6:$C$17,2,0)*PRECIOS!N317</f>
        <v>358.47915121156876</v>
      </c>
      <c r="P317" s="55" t="str">
        <f t="shared" si="13"/>
        <v>No</v>
      </c>
      <c r="Q317" s="57">
        <f>+IF(I317=1,O317,IF(I317=2,O317/(1+MRI!$C$18),(O317/(1+MRI!$D$18))/(1+MRI!$C$18)))</f>
        <v>327.17205707049322</v>
      </c>
      <c r="R317" s="57" t="str">
        <f t="shared" si="14"/>
        <v/>
      </c>
    </row>
    <row r="318" spans="1:18" x14ac:dyDescent="0.3">
      <c r="A318" s="42">
        <v>317</v>
      </c>
      <c r="B318" s="42" t="s">
        <v>38</v>
      </c>
      <c r="C318" s="42" t="s">
        <v>215</v>
      </c>
      <c r="D318" s="42" t="s">
        <v>182</v>
      </c>
      <c r="E318" s="42" t="s">
        <v>80</v>
      </c>
      <c r="F318" s="42" t="s">
        <v>9</v>
      </c>
      <c r="G318" s="42" t="s">
        <v>10</v>
      </c>
      <c r="H318" s="42" t="s">
        <v>20</v>
      </c>
      <c r="I318" s="42">
        <v>3</v>
      </c>
      <c r="J318" s="42" t="s">
        <v>12</v>
      </c>
      <c r="K318" s="43">
        <v>4642.0200000000004</v>
      </c>
      <c r="L318" s="42">
        <v>10000</v>
      </c>
      <c r="M318" s="42" t="s">
        <v>186</v>
      </c>
      <c r="N318" s="44">
        <f t="shared" si="12"/>
        <v>0.46420200000000006</v>
      </c>
      <c r="O318" s="44">
        <f>+VLOOKUP(J318,TC!$B$6:$C$17,2,0)*PRECIOS!N318</f>
        <v>391.26171845042336</v>
      </c>
      <c r="P318" s="42" t="str">
        <f t="shared" si="13"/>
        <v>No</v>
      </c>
      <c r="Q318" s="44">
        <f>+IF(I318=1,O318,IF(I318=2,O318/(1+MRI!$C$18),(O318/(1+MRI!$D$18))/(1+MRI!$C$18)))</f>
        <v>299.10770537309151</v>
      </c>
      <c r="R318" s="44" t="str">
        <f t="shared" si="14"/>
        <v/>
      </c>
    </row>
    <row r="319" spans="1:18" x14ac:dyDescent="0.3">
      <c r="A319" s="55">
        <v>318</v>
      </c>
      <c r="B319" s="55" t="s">
        <v>38</v>
      </c>
      <c r="C319" s="55" t="s">
        <v>215</v>
      </c>
      <c r="D319" s="55" t="s">
        <v>182</v>
      </c>
      <c r="E319" s="55" t="s">
        <v>80</v>
      </c>
      <c r="F319" s="55" t="s">
        <v>9</v>
      </c>
      <c r="G319" s="55" t="s">
        <v>10</v>
      </c>
      <c r="H319" s="55" t="s">
        <v>11</v>
      </c>
      <c r="I319" s="55">
        <v>1</v>
      </c>
      <c r="J319" s="55" t="s">
        <v>12</v>
      </c>
      <c r="K319" s="56">
        <v>3357.84</v>
      </c>
      <c r="L319" s="55">
        <v>10000</v>
      </c>
      <c r="M319" s="55" t="s">
        <v>186</v>
      </c>
      <c r="N319" s="57">
        <f t="shared" si="12"/>
        <v>0.33578400000000003</v>
      </c>
      <c r="O319" s="57">
        <f>+VLOOKUP(J319,TC!$B$6:$C$17,2,0)*PRECIOS!N319</f>
        <v>283.02210000852421</v>
      </c>
      <c r="P319" s="55" t="str">
        <f t="shared" si="13"/>
        <v>Si</v>
      </c>
      <c r="Q319" s="57">
        <f>+IF(I319=1,O319,IF(I319=2,O319/(1+MRI!$C$18),(O319/(1+MRI!$D$18))/(1+MRI!$C$18)))</f>
        <v>283.02210000852421</v>
      </c>
      <c r="R319" s="57">
        <f t="shared" si="14"/>
        <v>283.02210000852421</v>
      </c>
    </row>
    <row r="320" spans="1:18" x14ac:dyDescent="0.3">
      <c r="A320" s="42">
        <v>319</v>
      </c>
      <c r="B320" s="42" t="s">
        <v>38</v>
      </c>
      <c r="C320" s="42" t="s">
        <v>215</v>
      </c>
      <c r="D320" s="42" t="s">
        <v>182</v>
      </c>
      <c r="E320" s="42" t="s">
        <v>80</v>
      </c>
      <c r="F320" s="42" t="s">
        <v>9</v>
      </c>
      <c r="G320" s="42" t="s">
        <v>10</v>
      </c>
      <c r="H320" s="42" t="s">
        <v>13</v>
      </c>
      <c r="I320" s="42">
        <v>2</v>
      </c>
      <c r="J320" s="42" t="s">
        <v>12</v>
      </c>
      <c r="K320" s="43">
        <v>2634.9</v>
      </c>
      <c r="L320" s="42">
        <v>10000</v>
      </c>
      <c r="M320" s="42" t="s">
        <v>186</v>
      </c>
      <c r="N320" s="44">
        <f t="shared" si="12"/>
        <v>0.26349</v>
      </c>
      <c r="O320" s="44">
        <f>+VLOOKUP(J320,TC!$B$6:$C$17,2,0)*PRECIOS!N320</f>
        <v>222.0876906917722</v>
      </c>
      <c r="P320" s="42" t="str">
        <f t="shared" si="13"/>
        <v>No</v>
      </c>
      <c r="Q320" s="44">
        <f>+IF(I320=1,O320,IF(I320=2,O320/(1+MRI!$C$18),(O320/(1+MRI!$D$18))/(1+MRI!$C$18)))</f>
        <v>202.69208507129954</v>
      </c>
      <c r="R320" s="44" t="str">
        <f t="shared" si="14"/>
        <v/>
      </c>
    </row>
    <row r="321" spans="1:18" x14ac:dyDescent="0.3">
      <c r="A321" s="55">
        <v>320</v>
      </c>
      <c r="B321" s="55" t="s">
        <v>38</v>
      </c>
      <c r="C321" s="55" t="s">
        <v>215</v>
      </c>
      <c r="D321" s="55" t="s">
        <v>182</v>
      </c>
      <c r="E321" s="55" t="s">
        <v>131</v>
      </c>
      <c r="F321" s="55" t="s">
        <v>9</v>
      </c>
      <c r="G321" s="55" t="s">
        <v>10</v>
      </c>
      <c r="H321" s="55" t="s">
        <v>20</v>
      </c>
      <c r="I321" s="55">
        <v>3</v>
      </c>
      <c r="J321" s="55" t="s">
        <v>12</v>
      </c>
      <c r="K321" s="56">
        <v>514.07000000000005</v>
      </c>
      <c r="L321" s="55">
        <v>1000</v>
      </c>
      <c r="M321" s="55" t="s">
        <v>186</v>
      </c>
      <c r="N321" s="57">
        <f t="shared" si="12"/>
        <v>0.51407000000000003</v>
      </c>
      <c r="O321" s="57">
        <f>+VLOOKUP(J321,TC!$B$6:$C$17,2,0)*PRECIOS!N321</f>
        <v>433.29393583786612</v>
      </c>
      <c r="P321" s="55" t="str">
        <f t="shared" si="13"/>
        <v>No</v>
      </c>
      <c r="Q321" s="57">
        <f>+IF(I321=1,O321,IF(I321=2,O321/(1+MRI!$C$18),(O321/(1+MRI!$D$18))/(1+MRI!$C$18)))</f>
        <v>331.24005950242594</v>
      </c>
      <c r="R321" s="57" t="str">
        <f t="shared" si="14"/>
        <v/>
      </c>
    </row>
    <row r="322" spans="1:18" x14ac:dyDescent="0.3">
      <c r="A322" s="42">
        <v>321</v>
      </c>
      <c r="B322" s="42" t="s">
        <v>38</v>
      </c>
      <c r="C322" s="42" t="s">
        <v>215</v>
      </c>
      <c r="D322" s="42" t="s">
        <v>182</v>
      </c>
      <c r="E322" s="42" t="s">
        <v>131</v>
      </c>
      <c r="F322" s="42" t="s">
        <v>9</v>
      </c>
      <c r="G322" s="42" t="s">
        <v>10</v>
      </c>
      <c r="H322" s="42" t="s">
        <v>11</v>
      </c>
      <c r="I322" s="42">
        <v>1</v>
      </c>
      <c r="J322" s="42" t="s">
        <v>12</v>
      </c>
      <c r="K322" s="43">
        <v>371.86</v>
      </c>
      <c r="L322" s="42">
        <v>1000</v>
      </c>
      <c r="M322" s="42" t="s">
        <v>186</v>
      </c>
      <c r="N322" s="44">
        <f t="shared" si="12"/>
        <v>0.37186000000000002</v>
      </c>
      <c r="O322" s="44">
        <f>+VLOOKUP(J322,TC!$B$6:$C$17,2,0)*PRECIOS!N322</f>
        <v>313.42946093074659</v>
      </c>
      <c r="P322" s="42" t="str">
        <f t="shared" si="13"/>
        <v>Si</v>
      </c>
      <c r="Q322" s="44">
        <f>+IF(I322=1,O322,IF(I322=2,O322/(1+MRI!$C$18),(O322/(1+MRI!$D$18))/(1+MRI!$C$18)))</f>
        <v>313.42946093074659</v>
      </c>
      <c r="R322" s="44">
        <f t="shared" si="14"/>
        <v>313.42946093074659</v>
      </c>
    </row>
    <row r="323" spans="1:18" x14ac:dyDescent="0.3">
      <c r="A323" s="55">
        <v>322</v>
      </c>
      <c r="B323" s="55" t="s">
        <v>38</v>
      </c>
      <c r="C323" s="55" t="s">
        <v>215</v>
      </c>
      <c r="D323" s="55" t="s">
        <v>182</v>
      </c>
      <c r="E323" s="55" t="s">
        <v>131</v>
      </c>
      <c r="F323" s="55" t="s">
        <v>9</v>
      </c>
      <c r="G323" s="55" t="s">
        <v>10</v>
      </c>
      <c r="H323" s="55" t="s">
        <v>13</v>
      </c>
      <c r="I323" s="55">
        <v>2</v>
      </c>
      <c r="J323" s="55" t="s">
        <v>12</v>
      </c>
      <c r="K323" s="56">
        <v>291.8</v>
      </c>
      <c r="L323" s="55">
        <v>1000</v>
      </c>
      <c r="M323" s="55" t="s">
        <v>186</v>
      </c>
      <c r="N323" s="57">
        <f t="shared" ref="N323:N386" si="15">+K323/L323</f>
        <v>0.2918</v>
      </c>
      <c r="O323" s="57">
        <f>+VLOOKUP(J323,TC!$B$6:$C$17,2,0)*PRECIOS!N323</f>
        <v>245.94932689612179</v>
      </c>
      <c r="P323" s="55" t="str">
        <f t="shared" ref="P323:P386" si="16">IF(_xlfn.MINIFS($I:$I,$F:$F,F323,$E:$E,E323)=I323,"Si","No")</f>
        <v>No</v>
      </c>
      <c r="Q323" s="57">
        <f>+IF(I323=1,O323,IF(I323=2,O323/(1+MRI!$C$18),(O323/(1+MRI!$D$18))/(1+MRI!$C$18)))</f>
        <v>224.46981070934459</v>
      </c>
      <c r="R323" s="57" t="str">
        <f t="shared" ref="R323:R386" si="17">+IF(P323="Si",Q323,"")</f>
        <v/>
      </c>
    </row>
    <row r="324" spans="1:18" x14ac:dyDescent="0.3">
      <c r="A324" s="42">
        <v>323</v>
      </c>
      <c r="B324" s="42" t="s">
        <v>38</v>
      </c>
      <c r="C324" s="42" t="s">
        <v>215</v>
      </c>
      <c r="D324" s="42" t="s">
        <v>182</v>
      </c>
      <c r="E324" s="42" t="s">
        <v>81</v>
      </c>
      <c r="F324" s="42" t="s">
        <v>9</v>
      </c>
      <c r="G324" s="42" t="s">
        <v>10</v>
      </c>
      <c r="H324" s="42" t="s">
        <v>20</v>
      </c>
      <c r="I324" s="42">
        <v>3</v>
      </c>
      <c r="J324" s="42" t="s">
        <v>12</v>
      </c>
      <c r="K324" s="43">
        <v>9284.08</v>
      </c>
      <c r="L324" s="42">
        <v>20000</v>
      </c>
      <c r="M324" s="42" t="s">
        <v>186</v>
      </c>
      <c r="N324" s="44">
        <f t="shared" si="15"/>
        <v>0.46420400000000001</v>
      </c>
      <c r="O324" s="44">
        <f>+VLOOKUP(J324,TC!$B$6:$C$17,2,0)*PRECIOS!N324</f>
        <v>391.2634041894699</v>
      </c>
      <c r="P324" s="42" t="str">
        <f t="shared" si="16"/>
        <v>No</v>
      </c>
      <c r="Q324" s="44">
        <f>+IF(I324=1,O324,IF(I324=2,O324/(1+MRI!$C$18),(O324/(1+MRI!$D$18))/(1+MRI!$C$18)))</f>
        <v>299.1089940694149</v>
      </c>
      <c r="R324" s="44" t="str">
        <f t="shared" si="17"/>
        <v/>
      </c>
    </row>
    <row r="325" spans="1:18" x14ac:dyDescent="0.3">
      <c r="A325" s="55">
        <v>324</v>
      </c>
      <c r="B325" s="55" t="s">
        <v>38</v>
      </c>
      <c r="C325" s="55" t="s">
        <v>215</v>
      </c>
      <c r="D325" s="55" t="s">
        <v>182</v>
      </c>
      <c r="E325" s="55" t="s">
        <v>81</v>
      </c>
      <c r="F325" s="55" t="s">
        <v>9</v>
      </c>
      <c r="G325" s="55" t="s">
        <v>10</v>
      </c>
      <c r="H325" s="55" t="s">
        <v>11</v>
      </c>
      <c r="I325" s="55">
        <v>1</v>
      </c>
      <c r="J325" s="55" t="s">
        <v>12</v>
      </c>
      <c r="K325" s="56">
        <v>6715.71</v>
      </c>
      <c r="L325" s="55">
        <v>20000</v>
      </c>
      <c r="M325" s="55" t="s">
        <v>186</v>
      </c>
      <c r="N325" s="57">
        <f t="shared" si="15"/>
        <v>0.33578550000000001</v>
      </c>
      <c r="O325" s="57">
        <f>+VLOOKUP(J325,TC!$B$6:$C$17,2,0)*PRECIOS!N325</f>
        <v>283.02336431280912</v>
      </c>
      <c r="P325" s="55" t="str">
        <f t="shared" si="16"/>
        <v>Si</v>
      </c>
      <c r="Q325" s="57">
        <f>+IF(I325=1,O325,IF(I325=2,O325/(1+MRI!$C$18),(O325/(1+MRI!$D$18))/(1+MRI!$C$18)))</f>
        <v>283.02336431280912</v>
      </c>
      <c r="R325" s="57">
        <f t="shared" si="17"/>
        <v>283.02336431280912</v>
      </c>
    </row>
    <row r="326" spans="1:18" x14ac:dyDescent="0.3">
      <c r="A326" s="42">
        <v>325</v>
      </c>
      <c r="B326" s="42" t="s">
        <v>38</v>
      </c>
      <c r="C326" s="42" t="s">
        <v>215</v>
      </c>
      <c r="D326" s="42" t="s">
        <v>182</v>
      </c>
      <c r="E326" s="42" t="s">
        <v>81</v>
      </c>
      <c r="F326" s="42" t="s">
        <v>9</v>
      </c>
      <c r="G326" s="42" t="s">
        <v>10</v>
      </c>
      <c r="H326" s="42" t="s">
        <v>13</v>
      </c>
      <c r="I326" s="42">
        <v>2</v>
      </c>
      <c r="J326" s="42" t="s">
        <v>12</v>
      </c>
      <c r="K326" s="43">
        <v>5269.82</v>
      </c>
      <c r="L326" s="42">
        <v>20000</v>
      </c>
      <c r="M326" s="42" t="s">
        <v>186</v>
      </c>
      <c r="N326" s="44">
        <f t="shared" si="15"/>
        <v>0.26349099999999998</v>
      </c>
      <c r="O326" s="44">
        <f>+VLOOKUP(J326,TC!$B$6:$C$17,2,0)*PRECIOS!N326</f>
        <v>222.08853356129546</v>
      </c>
      <c r="P326" s="42" t="str">
        <f t="shared" si="16"/>
        <v>No</v>
      </c>
      <c r="Q326" s="44">
        <f>+IF(I326=1,O326,IF(I326=2,O326/(1+MRI!$C$18),(O326/(1+MRI!$D$18))/(1+MRI!$C$18)))</f>
        <v>202.69285433041779</v>
      </c>
      <c r="R326" s="44" t="str">
        <f t="shared" si="17"/>
        <v/>
      </c>
    </row>
    <row r="327" spans="1:18" x14ac:dyDescent="0.3">
      <c r="A327" s="55">
        <v>326</v>
      </c>
      <c r="B327" s="55" t="s">
        <v>38</v>
      </c>
      <c r="C327" s="55" t="s">
        <v>215</v>
      </c>
      <c r="D327" s="55" t="s">
        <v>182</v>
      </c>
      <c r="E327" s="55" t="s">
        <v>82</v>
      </c>
      <c r="F327" s="55" t="s">
        <v>9</v>
      </c>
      <c r="G327" s="55" t="s">
        <v>10</v>
      </c>
      <c r="H327" s="55" t="s">
        <v>20</v>
      </c>
      <c r="I327" s="55">
        <v>3</v>
      </c>
      <c r="J327" s="55" t="s">
        <v>12</v>
      </c>
      <c r="K327" s="56">
        <v>1382.1</v>
      </c>
      <c r="L327" s="55">
        <v>2500</v>
      </c>
      <c r="M327" s="55" t="s">
        <v>186</v>
      </c>
      <c r="N327" s="57">
        <f t="shared" si="15"/>
        <v>0.55284</v>
      </c>
      <c r="O327" s="57">
        <f>+VLOOKUP(J327,TC!$B$6:$C$17,2,0)*PRECIOS!N327</f>
        <v>465.97198725583263</v>
      </c>
      <c r="P327" s="55" t="str">
        <f t="shared" si="16"/>
        <v>No</v>
      </c>
      <c r="Q327" s="57">
        <f>+IF(I327=1,O327,IF(I327=2,O327/(1+MRI!$C$18),(O327/(1+MRI!$D$18))/(1+MRI!$C$18)))</f>
        <v>356.22143773284017</v>
      </c>
      <c r="R327" s="57" t="str">
        <f t="shared" si="17"/>
        <v/>
      </c>
    </row>
    <row r="328" spans="1:18" x14ac:dyDescent="0.3">
      <c r="A328" s="42">
        <v>327</v>
      </c>
      <c r="B328" s="42" t="s">
        <v>38</v>
      </c>
      <c r="C328" s="42" t="s">
        <v>215</v>
      </c>
      <c r="D328" s="42" t="s">
        <v>182</v>
      </c>
      <c r="E328" s="42" t="s">
        <v>82</v>
      </c>
      <c r="F328" s="42" t="s">
        <v>9</v>
      </c>
      <c r="G328" s="42" t="s">
        <v>10</v>
      </c>
      <c r="H328" s="42" t="s">
        <v>11</v>
      </c>
      <c r="I328" s="42">
        <v>1</v>
      </c>
      <c r="J328" s="42" t="s">
        <v>12</v>
      </c>
      <c r="K328" s="43">
        <v>999.75</v>
      </c>
      <c r="L328" s="42">
        <v>2500</v>
      </c>
      <c r="M328" s="42" t="s">
        <v>186</v>
      </c>
      <c r="N328" s="44">
        <f t="shared" si="15"/>
        <v>0.39989999999999998</v>
      </c>
      <c r="O328" s="44">
        <f>+VLOOKUP(J328,TC!$B$6:$C$17,2,0)*PRECIOS!N328</f>
        <v>337.06352236380769</v>
      </c>
      <c r="P328" s="42" t="str">
        <f t="shared" si="16"/>
        <v>Si</v>
      </c>
      <c r="Q328" s="44">
        <f>+IF(I328=1,O328,IF(I328=2,O328/(1+MRI!$C$18),(O328/(1+MRI!$D$18))/(1+MRI!$C$18)))</f>
        <v>337.06352236380769</v>
      </c>
      <c r="R328" s="44">
        <f t="shared" si="17"/>
        <v>337.06352236380769</v>
      </c>
    </row>
    <row r="329" spans="1:18" x14ac:dyDescent="0.3">
      <c r="A329" s="55">
        <v>328</v>
      </c>
      <c r="B329" s="55" t="s">
        <v>38</v>
      </c>
      <c r="C329" s="55" t="s">
        <v>215</v>
      </c>
      <c r="D329" s="55" t="s">
        <v>182</v>
      </c>
      <c r="E329" s="55" t="s">
        <v>82</v>
      </c>
      <c r="F329" s="55" t="s">
        <v>9</v>
      </c>
      <c r="G329" s="55" t="s">
        <v>10</v>
      </c>
      <c r="H329" s="55" t="s">
        <v>13</v>
      </c>
      <c r="I329" s="55">
        <v>2</v>
      </c>
      <c r="J329" s="55" t="s">
        <v>12</v>
      </c>
      <c r="K329" s="56">
        <v>784.5</v>
      </c>
      <c r="L329" s="55">
        <v>2500</v>
      </c>
      <c r="M329" s="55" t="s">
        <v>186</v>
      </c>
      <c r="N329" s="57">
        <f t="shared" si="15"/>
        <v>0.31380000000000002</v>
      </c>
      <c r="O329" s="57">
        <f>+VLOOKUP(J329,TC!$B$6:$C$17,2,0)*PRECIOS!N329</f>
        <v>264.49245640850933</v>
      </c>
      <c r="P329" s="55" t="str">
        <f t="shared" si="16"/>
        <v>No</v>
      </c>
      <c r="Q329" s="57">
        <f>+IF(I329=1,O329,IF(I329=2,O329/(1+MRI!$C$18),(O329/(1+MRI!$D$18))/(1+MRI!$C$18)))</f>
        <v>241.39351131114577</v>
      </c>
      <c r="R329" s="57" t="str">
        <f t="shared" si="17"/>
        <v/>
      </c>
    </row>
    <row r="330" spans="1:18" x14ac:dyDescent="0.3">
      <c r="A330" s="42">
        <v>329</v>
      </c>
      <c r="B330" s="42" t="s">
        <v>38</v>
      </c>
      <c r="C330" s="42" t="s">
        <v>215</v>
      </c>
      <c r="D330" s="42" t="s">
        <v>182</v>
      </c>
      <c r="E330" s="42" t="s">
        <v>84</v>
      </c>
      <c r="F330" s="42" t="s">
        <v>9</v>
      </c>
      <c r="G330" s="42" t="s">
        <v>10</v>
      </c>
      <c r="H330" s="42" t="s">
        <v>20</v>
      </c>
      <c r="I330" s="42">
        <v>3</v>
      </c>
      <c r="J330" s="42" t="s">
        <v>12</v>
      </c>
      <c r="K330" s="43">
        <v>3746.42</v>
      </c>
      <c r="L330" s="42">
        <v>5000</v>
      </c>
      <c r="M330" s="42" t="s">
        <v>186</v>
      </c>
      <c r="N330" s="44">
        <f t="shared" si="15"/>
        <v>0.74928400000000006</v>
      </c>
      <c r="O330" s="44">
        <f>+VLOOKUP(J330,TC!$B$6:$C$17,2,0)*PRECIOS!N330</f>
        <v>631.5486478890806</v>
      </c>
      <c r="P330" s="42" t="str">
        <f t="shared" si="16"/>
        <v>No</v>
      </c>
      <c r="Q330" s="44">
        <f>+IF(I330=1,O330,IF(I330=2,O330/(1+MRI!$C$18),(O330/(1+MRI!$D$18))/(1+MRI!$C$18)))</f>
        <v>482.79976801644858</v>
      </c>
      <c r="R330" s="44" t="str">
        <f t="shared" si="17"/>
        <v/>
      </c>
    </row>
    <row r="331" spans="1:18" x14ac:dyDescent="0.3">
      <c r="A331" s="55">
        <v>330</v>
      </c>
      <c r="B331" s="55" t="s">
        <v>38</v>
      </c>
      <c r="C331" s="55" t="s">
        <v>215</v>
      </c>
      <c r="D331" s="55" t="s">
        <v>182</v>
      </c>
      <c r="E331" s="55" t="s">
        <v>84</v>
      </c>
      <c r="F331" s="55" t="s">
        <v>9</v>
      </c>
      <c r="G331" s="55" t="s">
        <v>10</v>
      </c>
      <c r="H331" s="55" t="s">
        <v>11</v>
      </c>
      <c r="I331" s="55">
        <v>1</v>
      </c>
      <c r="J331" s="55" t="s">
        <v>12</v>
      </c>
      <c r="K331" s="56">
        <v>2710</v>
      </c>
      <c r="L331" s="55">
        <v>5000</v>
      </c>
      <c r="M331" s="55" t="s">
        <v>186</v>
      </c>
      <c r="N331" s="57">
        <f t="shared" si="15"/>
        <v>0.54200000000000004</v>
      </c>
      <c r="O331" s="57">
        <f>+VLOOKUP(J331,TC!$B$6:$C$17,2,0)*PRECIOS!N331</f>
        <v>456.83528162336535</v>
      </c>
      <c r="P331" s="55" t="str">
        <f t="shared" si="16"/>
        <v>Si</v>
      </c>
      <c r="Q331" s="57">
        <f>+IF(I331=1,O331,IF(I331=2,O331/(1+MRI!$C$18),(O331/(1+MRI!$D$18))/(1+MRI!$C$18)))</f>
        <v>456.83528162336535</v>
      </c>
      <c r="R331" s="57">
        <f t="shared" si="17"/>
        <v>456.83528162336535</v>
      </c>
    </row>
    <row r="332" spans="1:18" x14ac:dyDescent="0.3">
      <c r="A332" s="42">
        <v>331</v>
      </c>
      <c r="B332" s="42" t="s">
        <v>38</v>
      </c>
      <c r="C332" s="42" t="s">
        <v>215</v>
      </c>
      <c r="D332" s="42" t="s">
        <v>182</v>
      </c>
      <c r="E332" s="42" t="s">
        <v>84</v>
      </c>
      <c r="F332" s="42" t="s">
        <v>9</v>
      </c>
      <c r="G332" s="42" t="s">
        <v>10</v>
      </c>
      <c r="H332" s="42" t="s">
        <v>13</v>
      </c>
      <c r="I332" s="42">
        <v>2</v>
      </c>
      <c r="J332" s="42" t="s">
        <v>12</v>
      </c>
      <c r="K332" s="43">
        <v>2126.54</v>
      </c>
      <c r="L332" s="42">
        <v>5000</v>
      </c>
      <c r="M332" s="42" t="s">
        <v>186</v>
      </c>
      <c r="N332" s="44">
        <f t="shared" si="15"/>
        <v>0.42530800000000002</v>
      </c>
      <c r="O332" s="44">
        <f>+VLOOKUP(J332,TC!$B$6:$C$17,2,0)*PRECIOS!N332</f>
        <v>358.47915121156876</v>
      </c>
      <c r="P332" s="42" t="str">
        <f t="shared" si="16"/>
        <v>No</v>
      </c>
      <c r="Q332" s="44">
        <f>+IF(I332=1,O332,IF(I332=2,O332/(1+MRI!$C$18),(O332/(1+MRI!$D$18))/(1+MRI!$C$18)))</f>
        <v>327.17205707049322</v>
      </c>
      <c r="R332" s="44" t="str">
        <f t="shared" si="17"/>
        <v/>
      </c>
    </row>
    <row r="333" spans="1:18" x14ac:dyDescent="0.3">
      <c r="A333" s="55">
        <v>332</v>
      </c>
      <c r="B333" s="55" t="s">
        <v>38</v>
      </c>
      <c r="C333" s="55" t="s">
        <v>215</v>
      </c>
      <c r="D333" s="55" t="s">
        <v>182</v>
      </c>
      <c r="E333" s="55" t="s">
        <v>73</v>
      </c>
      <c r="F333" s="55" t="s">
        <v>9</v>
      </c>
      <c r="G333" s="55" t="s">
        <v>10</v>
      </c>
      <c r="H333" s="55" t="s">
        <v>20</v>
      </c>
      <c r="I333" s="55">
        <v>3</v>
      </c>
      <c r="J333" s="55" t="s">
        <v>12</v>
      </c>
      <c r="K333" s="56">
        <v>9285.7800000000007</v>
      </c>
      <c r="L333" s="55">
        <v>20000</v>
      </c>
      <c r="M333" s="55" t="s">
        <v>186</v>
      </c>
      <c r="N333" s="57">
        <f t="shared" si="15"/>
        <v>0.46428900000000001</v>
      </c>
      <c r="O333" s="57">
        <f>+VLOOKUP(J333,TC!$B$6:$C$17,2,0)*PRECIOS!N333</f>
        <v>391.33504809894958</v>
      </c>
      <c r="P333" s="55" t="str">
        <f t="shared" si="16"/>
        <v>No</v>
      </c>
      <c r="Q333" s="57">
        <f>+IF(I333=1,O333,IF(I333=2,O333/(1+MRI!$C$18),(O333/(1+MRI!$D$18))/(1+MRI!$C$18)))</f>
        <v>299.16376366316229</v>
      </c>
      <c r="R333" s="57" t="str">
        <f t="shared" si="17"/>
        <v/>
      </c>
    </row>
    <row r="334" spans="1:18" x14ac:dyDescent="0.3">
      <c r="A334" s="42">
        <v>333</v>
      </c>
      <c r="B334" s="42" t="s">
        <v>38</v>
      </c>
      <c r="C334" s="42" t="s">
        <v>215</v>
      </c>
      <c r="D334" s="42" t="s">
        <v>182</v>
      </c>
      <c r="E334" s="42" t="s">
        <v>73</v>
      </c>
      <c r="F334" s="42" t="s">
        <v>9</v>
      </c>
      <c r="G334" s="42" t="s">
        <v>10</v>
      </c>
      <c r="H334" s="42" t="s">
        <v>11</v>
      </c>
      <c r="I334" s="42">
        <v>1</v>
      </c>
      <c r="J334" s="42" t="s">
        <v>12</v>
      </c>
      <c r="K334" s="43">
        <v>6716.94</v>
      </c>
      <c r="L334" s="42">
        <v>20000</v>
      </c>
      <c r="M334" s="42" t="s">
        <v>186</v>
      </c>
      <c r="N334" s="44">
        <f t="shared" si="15"/>
        <v>0.33584700000000001</v>
      </c>
      <c r="O334" s="44">
        <f>+VLOOKUP(J334,TC!$B$6:$C$17,2,0)*PRECIOS!N334</f>
        <v>283.07520078849149</v>
      </c>
      <c r="P334" s="42" t="str">
        <f t="shared" si="16"/>
        <v>Si</v>
      </c>
      <c r="Q334" s="44">
        <f>+IF(I334=1,O334,IF(I334=2,O334/(1+MRI!$C$18),(O334/(1+MRI!$D$18))/(1+MRI!$C$18)))</f>
        <v>283.07520078849149</v>
      </c>
      <c r="R334" s="44">
        <f t="shared" si="17"/>
        <v>283.07520078849149</v>
      </c>
    </row>
    <row r="335" spans="1:18" x14ac:dyDescent="0.3">
      <c r="A335" s="55">
        <v>334</v>
      </c>
      <c r="B335" s="55" t="s">
        <v>38</v>
      </c>
      <c r="C335" s="55" t="s">
        <v>215</v>
      </c>
      <c r="D335" s="55" t="s">
        <v>182</v>
      </c>
      <c r="E335" s="55" t="s">
        <v>73</v>
      </c>
      <c r="F335" s="55" t="s">
        <v>9</v>
      </c>
      <c r="G335" s="55" t="s">
        <v>10</v>
      </c>
      <c r="H335" s="55" t="s">
        <v>13</v>
      </c>
      <c r="I335" s="55">
        <v>2</v>
      </c>
      <c r="J335" s="55" t="s">
        <v>12</v>
      </c>
      <c r="K335" s="56">
        <v>5270.78</v>
      </c>
      <c r="L335" s="55">
        <v>20000</v>
      </c>
      <c r="M335" s="55" t="s">
        <v>186</v>
      </c>
      <c r="N335" s="57">
        <f t="shared" si="15"/>
        <v>0.26353899999999997</v>
      </c>
      <c r="O335" s="57">
        <f>+VLOOKUP(J335,TC!$B$6:$C$17,2,0)*PRECIOS!N335</f>
        <v>222.12899129841338</v>
      </c>
      <c r="P335" s="55" t="str">
        <f t="shared" si="16"/>
        <v>No</v>
      </c>
      <c r="Q335" s="57">
        <f>+IF(I335=1,O335,IF(I335=2,O335/(1+MRI!$C$18),(O335/(1+MRI!$D$18))/(1+MRI!$C$18)))</f>
        <v>202.72977876809441</v>
      </c>
      <c r="R335" s="57" t="str">
        <f t="shared" si="17"/>
        <v/>
      </c>
    </row>
    <row r="336" spans="1:18" x14ac:dyDescent="0.3">
      <c r="A336" s="42">
        <v>335</v>
      </c>
      <c r="B336" s="42" t="s">
        <v>38</v>
      </c>
      <c r="C336" s="42" t="s">
        <v>215</v>
      </c>
      <c r="D336" s="42" t="s">
        <v>182</v>
      </c>
      <c r="E336" s="42" t="s">
        <v>55</v>
      </c>
      <c r="F336" s="42" t="s">
        <v>9</v>
      </c>
      <c r="G336" s="42" t="s">
        <v>10</v>
      </c>
      <c r="H336" s="42" t="s">
        <v>20</v>
      </c>
      <c r="I336" s="42">
        <v>3</v>
      </c>
      <c r="J336" s="42" t="s">
        <v>12</v>
      </c>
      <c r="K336" s="43">
        <v>4642.8999999999996</v>
      </c>
      <c r="L336" s="42">
        <v>10000</v>
      </c>
      <c r="M336" s="42" t="s">
        <v>186</v>
      </c>
      <c r="N336" s="44">
        <f t="shared" si="15"/>
        <v>0.46428999999999998</v>
      </c>
      <c r="O336" s="44">
        <f>+VLOOKUP(J336,TC!$B$6:$C$17,2,0)*PRECIOS!N336</f>
        <v>391.33589096847282</v>
      </c>
      <c r="P336" s="42" t="str">
        <f t="shared" si="16"/>
        <v>No</v>
      </c>
      <c r="Q336" s="44">
        <f>+IF(I336=1,O336,IF(I336=2,O336/(1+MRI!$C$18),(O336/(1+MRI!$D$18))/(1+MRI!$C$18)))</f>
        <v>299.16440801132399</v>
      </c>
      <c r="R336" s="44" t="str">
        <f t="shared" si="17"/>
        <v/>
      </c>
    </row>
    <row r="337" spans="1:18" x14ac:dyDescent="0.3">
      <c r="A337" s="55">
        <v>336</v>
      </c>
      <c r="B337" s="55" t="s">
        <v>38</v>
      </c>
      <c r="C337" s="55" t="s">
        <v>215</v>
      </c>
      <c r="D337" s="55" t="s">
        <v>182</v>
      </c>
      <c r="E337" s="55" t="s">
        <v>55</v>
      </c>
      <c r="F337" s="55" t="s">
        <v>9</v>
      </c>
      <c r="G337" s="55" t="s">
        <v>10</v>
      </c>
      <c r="H337" s="55" t="s">
        <v>11</v>
      </c>
      <c r="I337" s="55">
        <v>1</v>
      </c>
      <c r="J337" s="55" t="s">
        <v>12</v>
      </c>
      <c r="K337" s="56">
        <v>3358.48</v>
      </c>
      <c r="L337" s="55">
        <v>10000</v>
      </c>
      <c r="M337" s="55" t="s">
        <v>186</v>
      </c>
      <c r="N337" s="57">
        <f t="shared" si="15"/>
        <v>0.33584799999999998</v>
      </c>
      <c r="O337" s="57">
        <f>+VLOOKUP(J337,TC!$B$6:$C$17,2,0)*PRECIOS!N337</f>
        <v>283.07604365801473</v>
      </c>
      <c r="P337" s="55" t="str">
        <f t="shared" si="16"/>
        <v>Si</v>
      </c>
      <c r="Q337" s="57">
        <f>+IF(I337=1,O337,IF(I337=2,O337/(1+MRI!$C$18),(O337/(1+MRI!$D$18))/(1+MRI!$C$18)))</f>
        <v>283.07604365801473</v>
      </c>
      <c r="R337" s="57">
        <f t="shared" si="17"/>
        <v>283.07604365801473</v>
      </c>
    </row>
    <row r="338" spans="1:18" x14ac:dyDescent="0.3">
      <c r="A338" s="42">
        <v>337</v>
      </c>
      <c r="B338" s="42" t="s">
        <v>38</v>
      </c>
      <c r="C338" s="42" t="s">
        <v>215</v>
      </c>
      <c r="D338" s="42" t="s">
        <v>182</v>
      </c>
      <c r="E338" s="42" t="s">
        <v>55</v>
      </c>
      <c r="F338" s="42" t="s">
        <v>9</v>
      </c>
      <c r="G338" s="42" t="s">
        <v>10</v>
      </c>
      <c r="H338" s="42" t="s">
        <v>13</v>
      </c>
      <c r="I338" s="42">
        <v>2</v>
      </c>
      <c r="J338" s="42" t="s">
        <v>12</v>
      </c>
      <c r="K338" s="43">
        <v>2635.4</v>
      </c>
      <c r="L338" s="42">
        <v>10000</v>
      </c>
      <c r="M338" s="42" t="s">
        <v>186</v>
      </c>
      <c r="N338" s="44">
        <f t="shared" si="15"/>
        <v>0.26354</v>
      </c>
      <c r="O338" s="44">
        <f>+VLOOKUP(J338,TC!$B$6:$C$17,2,0)*PRECIOS!N338</f>
        <v>222.12983416793671</v>
      </c>
      <c r="P338" s="42" t="str">
        <f t="shared" si="16"/>
        <v>No</v>
      </c>
      <c r="Q338" s="44">
        <f>+IF(I338=1,O338,IF(I338=2,O338/(1+MRI!$C$18),(O338/(1+MRI!$D$18))/(1+MRI!$C$18)))</f>
        <v>202.73054802721271</v>
      </c>
      <c r="R338" s="44" t="str">
        <f t="shared" si="17"/>
        <v/>
      </c>
    </row>
    <row r="339" spans="1:18" x14ac:dyDescent="0.3">
      <c r="A339" s="55">
        <v>338</v>
      </c>
      <c r="B339" s="55" t="s">
        <v>38</v>
      </c>
      <c r="C339" s="55" t="s">
        <v>215</v>
      </c>
      <c r="D339" s="55" t="s">
        <v>182</v>
      </c>
      <c r="E339" s="55" t="s">
        <v>65</v>
      </c>
      <c r="F339" s="55" t="s">
        <v>9</v>
      </c>
      <c r="G339" s="55" t="s">
        <v>10</v>
      </c>
      <c r="H339" s="55" t="s">
        <v>20</v>
      </c>
      <c r="I339" s="55">
        <v>3</v>
      </c>
      <c r="J339" s="55" t="s">
        <v>12</v>
      </c>
      <c r="K339" s="56">
        <v>3746.42</v>
      </c>
      <c r="L339" s="55">
        <v>5000</v>
      </c>
      <c r="M339" s="55" t="s">
        <v>186</v>
      </c>
      <c r="N339" s="57">
        <f t="shared" si="15"/>
        <v>0.74928400000000006</v>
      </c>
      <c r="O339" s="57">
        <f>+VLOOKUP(J339,TC!$B$6:$C$17,2,0)*PRECIOS!N339</f>
        <v>631.5486478890806</v>
      </c>
      <c r="P339" s="55" t="str">
        <f t="shared" si="16"/>
        <v>No</v>
      </c>
      <c r="Q339" s="57">
        <f>+IF(I339=1,O339,IF(I339=2,O339/(1+MRI!$C$18),(O339/(1+MRI!$D$18))/(1+MRI!$C$18)))</f>
        <v>482.79976801644858</v>
      </c>
      <c r="R339" s="57" t="str">
        <f t="shared" si="17"/>
        <v/>
      </c>
    </row>
    <row r="340" spans="1:18" x14ac:dyDescent="0.3">
      <c r="A340" s="42">
        <v>339</v>
      </c>
      <c r="B340" s="42" t="s">
        <v>38</v>
      </c>
      <c r="C340" s="42" t="s">
        <v>215</v>
      </c>
      <c r="D340" s="42" t="s">
        <v>182</v>
      </c>
      <c r="E340" s="42" t="s">
        <v>65</v>
      </c>
      <c r="F340" s="42" t="s">
        <v>9</v>
      </c>
      <c r="G340" s="42" t="s">
        <v>10</v>
      </c>
      <c r="H340" s="42" t="s">
        <v>11</v>
      </c>
      <c r="I340" s="42">
        <v>1</v>
      </c>
      <c r="J340" s="42" t="s">
        <v>12</v>
      </c>
      <c r="K340" s="43">
        <v>2710</v>
      </c>
      <c r="L340" s="42">
        <v>5000</v>
      </c>
      <c r="M340" s="42" t="s">
        <v>186</v>
      </c>
      <c r="N340" s="44">
        <f t="shared" si="15"/>
        <v>0.54200000000000004</v>
      </c>
      <c r="O340" s="44">
        <f>+VLOOKUP(J340,TC!$B$6:$C$17,2,0)*PRECIOS!N340</f>
        <v>456.83528162336535</v>
      </c>
      <c r="P340" s="42" t="str">
        <f t="shared" si="16"/>
        <v>Si</v>
      </c>
      <c r="Q340" s="44">
        <f>+IF(I340=1,O340,IF(I340=2,O340/(1+MRI!$C$18),(O340/(1+MRI!$D$18))/(1+MRI!$C$18)))</f>
        <v>456.83528162336535</v>
      </c>
      <c r="R340" s="44">
        <f t="shared" si="17"/>
        <v>456.83528162336535</v>
      </c>
    </row>
    <row r="341" spans="1:18" x14ac:dyDescent="0.3">
      <c r="A341" s="55">
        <v>340</v>
      </c>
      <c r="B341" s="55" t="s">
        <v>38</v>
      </c>
      <c r="C341" s="55" t="s">
        <v>215</v>
      </c>
      <c r="D341" s="55" t="s">
        <v>182</v>
      </c>
      <c r="E341" s="55" t="s">
        <v>65</v>
      </c>
      <c r="F341" s="55" t="s">
        <v>9</v>
      </c>
      <c r="G341" s="55" t="s">
        <v>10</v>
      </c>
      <c r="H341" s="55" t="s">
        <v>13</v>
      </c>
      <c r="I341" s="55">
        <v>2</v>
      </c>
      <c r="J341" s="55" t="s">
        <v>12</v>
      </c>
      <c r="K341" s="56">
        <v>2126.54</v>
      </c>
      <c r="L341" s="55">
        <v>5000</v>
      </c>
      <c r="M341" s="55" t="s">
        <v>186</v>
      </c>
      <c r="N341" s="57">
        <f t="shared" si="15"/>
        <v>0.42530800000000002</v>
      </c>
      <c r="O341" s="57">
        <f>+VLOOKUP(J341,TC!$B$6:$C$17,2,0)*PRECIOS!N341</f>
        <v>358.47915121156876</v>
      </c>
      <c r="P341" s="55" t="str">
        <f t="shared" si="16"/>
        <v>No</v>
      </c>
      <c r="Q341" s="57">
        <f>+IF(I341=1,O341,IF(I341=2,O341/(1+MRI!$C$18),(O341/(1+MRI!$D$18))/(1+MRI!$C$18)))</f>
        <v>327.17205707049322</v>
      </c>
      <c r="R341" s="57" t="str">
        <f t="shared" si="17"/>
        <v/>
      </c>
    </row>
    <row r="342" spans="1:18" x14ac:dyDescent="0.3">
      <c r="A342" s="42">
        <v>341</v>
      </c>
      <c r="B342" s="42" t="s">
        <v>38</v>
      </c>
      <c r="C342" s="42" t="s">
        <v>215</v>
      </c>
      <c r="D342" s="42" t="s">
        <v>182</v>
      </c>
      <c r="E342" s="42" t="s">
        <v>54</v>
      </c>
      <c r="F342" s="42" t="s">
        <v>9</v>
      </c>
      <c r="G342" s="42" t="s">
        <v>10</v>
      </c>
      <c r="H342" s="42" t="s">
        <v>20</v>
      </c>
      <c r="I342" s="42">
        <v>3</v>
      </c>
      <c r="J342" s="42" t="s">
        <v>12</v>
      </c>
      <c r="K342" s="43">
        <v>3746.42</v>
      </c>
      <c r="L342" s="42">
        <v>5000</v>
      </c>
      <c r="M342" s="42" t="s">
        <v>186</v>
      </c>
      <c r="N342" s="44">
        <f t="shared" si="15"/>
        <v>0.74928400000000006</v>
      </c>
      <c r="O342" s="44">
        <f>+VLOOKUP(J342,TC!$B$6:$C$17,2,0)*PRECIOS!N342</f>
        <v>631.5486478890806</v>
      </c>
      <c r="P342" s="42" t="str">
        <f t="shared" si="16"/>
        <v>No</v>
      </c>
      <c r="Q342" s="44">
        <f>+IF(I342=1,O342,IF(I342=2,O342/(1+MRI!$C$18),(O342/(1+MRI!$D$18))/(1+MRI!$C$18)))</f>
        <v>482.79976801644858</v>
      </c>
      <c r="R342" s="44" t="str">
        <f t="shared" si="17"/>
        <v/>
      </c>
    </row>
    <row r="343" spans="1:18" x14ac:dyDescent="0.3">
      <c r="A343" s="55">
        <v>342</v>
      </c>
      <c r="B343" s="55" t="s">
        <v>38</v>
      </c>
      <c r="C343" s="55" t="s">
        <v>215</v>
      </c>
      <c r="D343" s="55" t="s">
        <v>182</v>
      </c>
      <c r="E343" s="55" t="s">
        <v>54</v>
      </c>
      <c r="F343" s="55" t="s">
        <v>9</v>
      </c>
      <c r="G343" s="55" t="s">
        <v>10</v>
      </c>
      <c r="H343" s="55" t="s">
        <v>11</v>
      </c>
      <c r="I343" s="55">
        <v>1</v>
      </c>
      <c r="J343" s="55" t="s">
        <v>12</v>
      </c>
      <c r="K343" s="56">
        <v>2710</v>
      </c>
      <c r="L343" s="55">
        <v>5000</v>
      </c>
      <c r="M343" s="55" t="s">
        <v>186</v>
      </c>
      <c r="N343" s="57">
        <f t="shared" si="15"/>
        <v>0.54200000000000004</v>
      </c>
      <c r="O343" s="57">
        <f>+VLOOKUP(J343,TC!$B$6:$C$17,2,0)*PRECIOS!N343</f>
        <v>456.83528162336535</v>
      </c>
      <c r="P343" s="55" t="str">
        <f t="shared" si="16"/>
        <v>Si</v>
      </c>
      <c r="Q343" s="57">
        <f>+IF(I343=1,O343,IF(I343=2,O343/(1+MRI!$C$18),(O343/(1+MRI!$D$18))/(1+MRI!$C$18)))</f>
        <v>456.83528162336535</v>
      </c>
      <c r="R343" s="57">
        <f t="shared" si="17"/>
        <v>456.83528162336535</v>
      </c>
    </row>
    <row r="344" spans="1:18" x14ac:dyDescent="0.3">
      <c r="A344" s="42">
        <v>343</v>
      </c>
      <c r="B344" s="42" t="s">
        <v>38</v>
      </c>
      <c r="C344" s="42" t="s">
        <v>215</v>
      </c>
      <c r="D344" s="42" t="s">
        <v>182</v>
      </c>
      <c r="E344" s="42" t="s">
        <v>54</v>
      </c>
      <c r="F344" s="42" t="s">
        <v>9</v>
      </c>
      <c r="G344" s="42" t="s">
        <v>10</v>
      </c>
      <c r="H344" s="42" t="s">
        <v>13</v>
      </c>
      <c r="I344" s="42">
        <v>2</v>
      </c>
      <c r="J344" s="42" t="s">
        <v>12</v>
      </c>
      <c r="K344" s="43">
        <v>2126.54</v>
      </c>
      <c r="L344" s="42">
        <v>5000</v>
      </c>
      <c r="M344" s="42" t="s">
        <v>186</v>
      </c>
      <c r="N344" s="44">
        <f t="shared" si="15"/>
        <v>0.42530800000000002</v>
      </c>
      <c r="O344" s="44">
        <f>+VLOOKUP(J344,TC!$B$6:$C$17,2,0)*PRECIOS!N344</f>
        <v>358.47915121156876</v>
      </c>
      <c r="P344" s="42" t="str">
        <f t="shared" si="16"/>
        <v>No</v>
      </c>
      <c r="Q344" s="44">
        <f>+IF(I344=1,O344,IF(I344=2,O344/(1+MRI!$C$18),(O344/(1+MRI!$D$18))/(1+MRI!$C$18)))</f>
        <v>327.17205707049322</v>
      </c>
      <c r="R344" s="44" t="str">
        <f t="shared" si="17"/>
        <v/>
      </c>
    </row>
    <row r="345" spans="1:18" x14ac:dyDescent="0.3">
      <c r="A345" s="55">
        <v>344</v>
      </c>
      <c r="B345" s="55" t="s">
        <v>38</v>
      </c>
      <c r="C345" s="55" t="s">
        <v>215</v>
      </c>
      <c r="D345" s="55" t="s">
        <v>182</v>
      </c>
      <c r="E345" s="55" t="s">
        <v>88</v>
      </c>
      <c r="F345" s="55" t="s">
        <v>9</v>
      </c>
      <c r="G345" s="55" t="s">
        <v>10</v>
      </c>
      <c r="H345" s="55" t="s">
        <v>20</v>
      </c>
      <c r="I345" s="55">
        <v>3</v>
      </c>
      <c r="J345" s="55" t="s">
        <v>12</v>
      </c>
      <c r="K345" s="56">
        <v>3746.42</v>
      </c>
      <c r="L345" s="55">
        <v>5000</v>
      </c>
      <c r="M345" s="55" t="s">
        <v>186</v>
      </c>
      <c r="N345" s="57">
        <f t="shared" si="15"/>
        <v>0.74928400000000006</v>
      </c>
      <c r="O345" s="57">
        <f>+VLOOKUP(J345,TC!$B$6:$C$17,2,0)*PRECIOS!N345</f>
        <v>631.5486478890806</v>
      </c>
      <c r="P345" s="55" t="str">
        <f t="shared" si="16"/>
        <v>No</v>
      </c>
      <c r="Q345" s="57">
        <f>+IF(I345=1,O345,IF(I345=2,O345/(1+MRI!$C$18),(O345/(1+MRI!$D$18))/(1+MRI!$C$18)))</f>
        <v>482.79976801644858</v>
      </c>
      <c r="R345" s="57" t="str">
        <f t="shared" si="17"/>
        <v/>
      </c>
    </row>
    <row r="346" spans="1:18" x14ac:dyDescent="0.3">
      <c r="A346" s="42">
        <v>345</v>
      </c>
      <c r="B346" s="42" t="s">
        <v>38</v>
      </c>
      <c r="C346" s="42" t="s">
        <v>215</v>
      </c>
      <c r="D346" s="42" t="s">
        <v>182</v>
      </c>
      <c r="E346" s="42" t="s">
        <v>88</v>
      </c>
      <c r="F346" s="42" t="s">
        <v>9</v>
      </c>
      <c r="G346" s="42" t="s">
        <v>10</v>
      </c>
      <c r="H346" s="42" t="s">
        <v>11</v>
      </c>
      <c r="I346" s="42">
        <v>1</v>
      </c>
      <c r="J346" s="42" t="s">
        <v>12</v>
      </c>
      <c r="K346" s="43">
        <v>2710</v>
      </c>
      <c r="L346" s="42">
        <v>5000</v>
      </c>
      <c r="M346" s="42" t="s">
        <v>186</v>
      </c>
      <c r="N346" s="44">
        <f t="shared" si="15"/>
        <v>0.54200000000000004</v>
      </c>
      <c r="O346" s="44">
        <f>+VLOOKUP(J346,TC!$B$6:$C$17,2,0)*PRECIOS!N346</f>
        <v>456.83528162336535</v>
      </c>
      <c r="P346" s="42" t="str">
        <f t="shared" si="16"/>
        <v>Si</v>
      </c>
      <c r="Q346" s="44">
        <f>+IF(I346=1,O346,IF(I346=2,O346/(1+MRI!$C$18),(O346/(1+MRI!$D$18))/(1+MRI!$C$18)))</f>
        <v>456.83528162336535</v>
      </c>
      <c r="R346" s="44">
        <f t="shared" si="17"/>
        <v>456.83528162336535</v>
      </c>
    </row>
    <row r="347" spans="1:18" x14ac:dyDescent="0.3">
      <c r="A347" s="55">
        <v>346</v>
      </c>
      <c r="B347" s="55" t="s">
        <v>38</v>
      </c>
      <c r="C347" s="55" t="s">
        <v>215</v>
      </c>
      <c r="D347" s="55" t="s">
        <v>182</v>
      </c>
      <c r="E347" s="55" t="s">
        <v>88</v>
      </c>
      <c r="F347" s="55" t="s">
        <v>9</v>
      </c>
      <c r="G347" s="55" t="s">
        <v>10</v>
      </c>
      <c r="H347" s="55" t="s">
        <v>13</v>
      </c>
      <c r="I347" s="55">
        <v>2</v>
      </c>
      <c r="J347" s="55" t="s">
        <v>12</v>
      </c>
      <c r="K347" s="56">
        <v>2126.54</v>
      </c>
      <c r="L347" s="55">
        <v>5000</v>
      </c>
      <c r="M347" s="55" t="s">
        <v>186</v>
      </c>
      <c r="N347" s="57">
        <f t="shared" si="15"/>
        <v>0.42530800000000002</v>
      </c>
      <c r="O347" s="57">
        <f>+VLOOKUP(J347,TC!$B$6:$C$17,2,0)*PRECIOS!N347</f>
        <v>358.47915121156876</v>
      </c>
      <c r="P347" s="55" t="str">
        <f t="shared" si="16"/>
        <v>No</v>
      </c>
      <c r="Q347" s="57">
        <f>+IF(I347=1,O347,IF(I347=2,O347/(1+MRI!$C$18),(O347/(1+MRI!$D$18))/(1+MRI!$C$18)))</f>
        <v>327.17205707049322</v>
      </c>
      <c r="R347" s="57" t="str">
        <f t="shared" si="17"/>
        <v/>
      </c>
    </row>
    <row r="348" spans="1:18" x14ac:dyDescent="0.3">
      <c r="A348" s="42">
        <v>347</v>
      </c>
      <c r="B348" s="42" t="s">
        <v>38</v>
      </c>
      <c r="C348" s="42" t="s">
        <v>215</v>
      </c>
      <c r="D348" s="42" t="s">
        <v>182</v>
      </c>
      <c r="E348" s="42" t="s">
        <v>74</v>
      </c>
      <c r="F348" s="42" t="s">
        <v>9</v>
      </c>
      <c r="G348" s="42" t="s">
        <v>10</v>
      </c>
      <c r="H348" s="42" t="s">
        <v>20</v>
      </c>
      <c r="I348" s="42">
        <v>3</v>
      </c>
      <c r="J348" s="42" t="s">
        <v>12</v>
      </c>
      <c r="K348" s="43">
        <v>1575.69</v>
      </c>
      <c r="L348" s="42">
        <v>5000</v>
      </c>
      <c r="M348" s="42" t="s">
        <v>186</v>
      </c>
      <c r="N348" s="44">
        <f t="shared" si="15"/>
        <v>0.31513800000000003</v>
      </c>
      <c r="O348" s="44">
        <f>+VLOOKUP(J348,TC!$B$6:$C$17,2,0)*PRECIOS!N348</f>
        <v>265.62021583067178</v>
      </c>
      <c r="P348" s="42" t="str">
        <f t="shared" si="16"/>
        <v>No</v>
      </c>
      <c r="Q348" s="44">
        <f>+IF(I348=1,O348,IF(I348=2,O348/(1+MRI!$C$18),(O348/(1+MRI!$D$18))/(1+MRI!$C$18)))</f>
        <v>203.0585909924242</v>
      </c>
      <c r="R348" s="44" t="str">
        <f t="shared" si="17"/>
        <v/>
      </c>
    </row>
    <row r="349" spans="1:18" x14ac:dyDescent="0.3">
      <c r="A349" s="55">
        <v>348</v>
      </c>
      <c r="B349" s="55" t="s">
        <v>38</v>
      </c>
      <c r="C349" s="55" t="s">
        <v>215</v>
      </c>
      <c r="D349" s="55" t="s">
        <v>182</v>
      </c>
      <c r="E349" s="55" t="s">
        <v>74</v>
      </c>
      <c r="F349" s="55" t="s">
        <v>9</v>
      </c>
      <c r="G349" s="55" t="s">
        <v>10</v>
      </c>
      <c r="H349" s="55" t="s">
        <v>11</v>
      </c>
      <c r="I349" s="55">
        <v>1</v>
      </c>
      <c r="J349" s="55" t="s">
        <v>12</v>
      </c>
      <c r="K349" s="56">
        <v>1139.79</v>
      </c>
      <c r="L349" s="55">
        <v>5000</v>
      </c>
      <c r="M349" s="55" t="s">
        <v>186</v>
      </c>
      <c r="N349" s="57">
        <f t="shared" si="15"/>
        <v>0.22795799999999999</v>
      </c>
      <c r="O349" s="57">
        <f>+VLOOKUP(J349,TC!$B$6:$C$17,2,0)*PRECIOS!N349</f>
        <v>192.13885079021975</v>
      </c>
      <c r="P349" s="55" t="str">
        <f t="shared" si="16"/>
        <v>Si</v>
      </c>
      <c r="Q349" s="57">
        <f>+IF(I349=1,O349,IF(I349=2,O349/(1+MRI!$C$18),(O349/(1+MRI!$D$18))/(1+MRI!$C$18)))</f>
        <v>192.13885079021975</v>
      </c>
      <c r="R349" s="57">
        <f t="shared" si="17"/>
        <v>192.13885079021975</v>
      </c>
    </row>
    <row r="350" spans="1:18" x14ac:dyDescent="0.3">
      <c r="A350" s="42">
        <v>349</v>
      </c>
      <c r="B350" s="42" t="s">
        <v>38</v>
      </c>
      <c r="C350" s="42" t="s">
        <v>215</v>
      </c>
      <c r="D350" s="42" t="s">
        <v>182</v>
      </c>
      <c r="E350" s="42" t="s">
        <v>74</v>
      </c>
      <c r="F350" s="42" t="s">
        <v>9</v>
      </c>
      <c r="G350" s="42" t="s">
        <v>10</v>
      </c>
      <c r="H350" s="42" t="s">
        <v>13</v>
      </c>
      <c r="I350" s="42">
        <v>2</v>
      </c>
      <c r="J350" s="42" t="s">
        <v>12</v>
      </c>
      <c r="K350" s="43">
        <v>894.39</v>
      </c>
      <c r="L350" s="42">
        <v>5000</v>
      </c>
      <c r="M350" s="42" t="s">
        <v>186</v>
      </c>
      <c r="N350" s="44">
        <f t="shared" si="15"/>
        <v>0.17887800000000001</v>
      </c>
      <c r="O350" s="44">
        <f>+VLOOKUP(J350,TC!$B$6:$C$17,2,0)*PRECIOS!N350</f>
        <v>150.77081458712979</v>
      </c>
      <c r="P350" s="42" t="str">
        <f t="shared" si="16"/>
        <v>No</v>
      </c>
      <c r="Q350" s="44">
        <f>+IF(I350=1,O350,IF(I350=2,O350/(1+MRI!$C$18),(O350/(1+MRI!$D$18))/(1+MRI!$C$18)))</f>
        <v>137.60353255677225</v>
      </c>
      <c r="R350" s="44" t="str">
        <f t="shared" si="17"/>
        <v/>
      </c>
    </row>
    <row r="351" spans="1:18" x14ac:dyDescent="0.3">
      <c r="A351" s="55">
        <v>350</v>
      </c>
      <c r="B351" s="55" t="s">
        <v>38</v>
      </c>
      <c r="C351" s="55" t="s">
        <v>231</v>
      </c>
      <c r="D351" s="55" t="s">
        <v>182</v>
      </c>
      <c r="E351" s="55" t="s">
        <v>50</v>
      </c>
      <c r="F351" s="55" t="s">
        <v>15</v>
      </c>
      <c r="G351" s="55" t="s">
        <v>51</v>
      </c>
      <c r="H351" s="55" t="s">
        <v>13</v>
      </c>
      <c r="I351" s="55">
        <v>2</v>
      </c>
      <c r="J351" s="55" t="s">
        <v>17</v>
      </c>
      <c r="K351" s="56">
        <v>475590</v>
      </c>
      <c r="L351" s="55">
        <v>10000</v>
      </c>
      <c r="M351" s="55" t="s">
        <v>186</v>
      </c>
      <c r="N351" s="57">
        <f t="shared" si="15"/>
        <v>47.558999999999997</v>
      </c>
      <c r="O351" s="57">
        <f>+VLOOKUP(J351,TC!$B$6:$C$17,2,0)*PRECIOS!N351</f>
        <v>239.01881049512545</v>
      </c>
      <c r="P351" s="55" t="str">
        <f t="shared" si="16"/>
        <v>Si</v>
      </c>
      <c r="Q351" s="57">
        <f>+IF(I351=1,O351,IF(I351=2,O351/(1+MRI!$C$18),(O351/(1+MRI!$D$18))/(1+MRI!$C$18)))</f>
        <v>218.14455776280283</v>
      </c>
      <c r="R351" s="57">
        <f t="shared" si="17"/>
        <v>218.14455776280283</v>
      </c>
    </row>
    <row r="352" spans="1:18" x14ac:dyDescent="0.3">
      <c r="A352" s="42">
        <v>351</v>
      </c>
      <c r="B352" s="42" t="s">
        <v>38</v>
      </c>
      <c r="C352" s="42" t="s">
        <v>231</v>
      </c>
      <c r="D352" s="42" t="s">
        <v>182</v>
      </c>
      <c r="E352" s="42" t="s">
        <v>79</v>
      </c>
      <c r="F352" s="42" t="s">
        <v>15</v>
      </c>
      <c r="G352" s="42" t="s">
        <v>51</v>
      </c>
      <c r="H352" s="42" t="s">
        <v>13</v>
      </c>
      <c r="I352" s="42">
        <v>2</v>
      </c>
      <c r="J352" s="42" t="s">
        <v>17</v>
      </c>
      <c r="K352" s="43">
        <v>222956</v>
      </c>
      <c r="L352" s="42">
        <v>5000</v>
      </c>
      <c r="M352" s="42" t="s">
        <v>186</v>
      </c>
      <c r="N352" s="44">
        <f t="shared" si="15"/>
        <v>44.591200000000001</v>
      </c>
      <c r="O352" s="44">
        <f>+VLOOKUP(J352,TC!$B$6:$C$17,2,0)*PRECIOS!N352</f>
        <v>224.1034416735053</v>
      </c>
      <c r="P352" s="42" t="str">
        <f t="shared" si="16"/>
        <v>Si</v>
      </c>
      <c r="Q352" s="44">
        <f>+IF(I352=1,O352,IF(I352=2,O352/(1+MRI!$C$18),(O352/(1+MRI!$D$18))/(1+MRI!$C$18)))</f>
        <v>204.53179427895233</v>
      </c>
      <c r="R352" s="44">
        <f t="shared" si="17"/>
        <v>204.53179427895233</v>
      </c>
    </row>
    <row r="353" spans="1:18" x14ac:dyDescent="0.3">
      <c r="A353" s="55">
        <v>352</v>
      </c>
      <c r="B353" s="55" t="s">
        <v>38</v>
      </c>
      <c r="C353" s="55" t="s">
        <v>231</v>
      </c>
      <c r="D353" s="55" t="s">
        <v>182</v>
      </c>
      <c r="E353" s="55" t="s">
        <v>57</v>
      </c>
      <c r="F353" s="55" t="s">
        <v>15</v>
      </c>
      <c r="G353" s="55" t="s">
        <v>51</v>
      </c>
      <c r="H353" s="55" t="s">
        <v>13</v>
      </c>
      <c r="I353" s="55">
        <v>2</v>
      </c>
      <c r="J353" s="55" t="s">
        <v>17</v>
      </c>
      <c r="K353" s="56">
        <v>294995</v>
      </c>
      <c r="L353" s="55">
        <v>5000</v>
      </c>
      <c r="M353" s="55" t="s">
        <v>186</v>
      </c>
      <c r="N353" s="57">
        <f t="shared" si="15"/>
        <v>58.999000000000002</v>
      </c>
      <c r="O353" s="57">
        <f>+VLOOKUP(J353,TC!$B$6:$C$17,2,0)*PRECIOS!N353</f>
        <v>296.51318994095561</v>
      </c>
      <c r="P353" s="55" t="str">
        <f t="shared" si="16"/>
        <v>Si</v>
      </c>
      <c r="Q353" s="57">
        <f>+IF(I353=1,O353,IF(I353=2,O353/(1+MRI!$C$18),(O353/(1+MRI!$D$18))/(1+MRI!$C$18)))</f>
        <v>270.61777504673364</v>
      </c>
      <c r="R353" s="57">
        <f t="shared" si="17"/>
        <v>270.61777504673364</v>
      </c>
    </row>
    <row r="354" spans="1:18" x14ac:dyDescent="0.3">
      <c r="A354" s="42">
        <v>353</v>
      </c>
      <c r="B354" s="42" t="s">
        <v>38</v>
      </c>
      <c r="C354" s="42" t="s">
        <v>232</v>
      </c>
      <c r="D354" s="42" t="s">
        <v>182</v>
      </c>
      <c r="E354" s="42" t="s">
        <v>50</v>
      </c>
      <c r="F354" s="42" t="s">
        <v>97</v>
      </c>
      <c r="G354" s="42" t="s">
        <v>135</v>
      </c>
      <c r="H354" s="42" t="s">
        <v>20</v>
      </c>
      <c r="I354" s="42">
        <v>3</v>
      </c>
      <c r="J354" s="42" t="s">
        <v>25</v>
      </c>
      <c r="K354" s="43">
        <v>1650.91</v>
      </c>
      <c r="L354" s="42">
        <v>10000</v>
      </c>
      <c r="M354" s="42" t="s">
        <v>186</v>
      </c>
      <c r="N354" s="44">
        <f t="shared" si="15"/>
        <v>0.16509100000000002</v>
      </c>
      <c r="O354" s="44">
        <f>+VLOOKUP(J354,TC!$B$6:$C$17,2,0)*PRECIOS!N354</f>
        <v>708.50953608000509</v>
      </c>
      <c r="P354" s="42" t="str">
        <f t="shared" si="16"/>
        <v>Si</v>
      </c>
      <c r="Q354" s="44">
        <f>+IF(I354=1,O354,IF(I354=2,O354/(1+MRI!$C$18),(O354/(1+MRI!$D$18))/(1+MRI!$C$18)))</f>
        <v>541.63403056948005</v>
      </c>
      <c r="R354" s="44">
        <f t="shared" si="17"/>
        <v>541.63403056948005</v>
      </c>
    </row>
    <row r="355" spans="1:18" x14ac:dyDescent="0.3">
      <c r="A355" s="55">
        <v>354</v>
      </c>
      <c r="B355" s="55" t="s">
        <v>38</v>
      </c>
      <c r="C355" s="55" t="s">
        <v>232</v>
      </c>
      <c r="D355" s="55" t="s">
        <v>182</v>
      </c>
      <c r="E355" s="55" t="s">
        <v>49</v>
      </c>
      <c r="F355" s="55" t="s">
        <v>97</v>
      </c>
      <c r="G355" s="55" t="s">
        <v>135</v>
      </c>
      <c r="H355" s="55" t="s">
        <v>20</v>
      </c>
      <c r="I355" s="55">
        <v>3</v>
      </c>
      <c r="J355" s="55" t="s">
        <v>25</v>
      </c>
      <c r="K355" s="56">
        <v>1088.53</v>
      </c>
      <c r="L355" s="55">
        <v>5000</v>
      </c>
      <c r="M355" s="55" t="s">
        <v>186</v>
      </c>
      <c r="N355" s="57">
        <f t="shared" si="15"/>
        <v>0.21770599999999998</v>
      </c>
      <c r="O355" s="57">
        <f>+VLOOKUP(J355,TC!$B$6:$C$17,2,0)*PRECIOS!N355</f>
        <v>934.31366374807578</v>
      </c>
      <c r="P355" s="55" t="str">
        <f t="shared" si="16"/>
        <v>Si</v>
      </c>
      <c r="Q355" s="57">
        <f>+IF(I355=1,O355,IF(I355=2,O355/(1+MRI!$C$18),(O355/(1+MRI!$D$18))/(1+MRI!$C$18)))</f>
        <v>714.25443094511036</v>
      </c>
      <c r="R355" s="57">
        <f t="shared" si="17"/>
        <v>714.25443094511036</v>
      </c>
    </row>
    <row r="356" spans="1:18" x14ac:dyDescent="0.3">
      <c r="A356" s="42">
        <v>355</v>
      </c>
      <c r="B356" s="42" t="s">
        <v>38</v>
      </c>
      <c r="C356" s="42" t="s">
        <v>232</v>
      </c>
      <c r="D356" s="42" t="s">
        <v>182</v>
      </c>
      <c r="E356" s="42" t="s">
        <v>79</v>
      </c>
      <c r="F356" s="42" t="s">
        <v>97</v>
      </c>
      <c r="G356" s="42" t="s">
        <v>135</v>
      </c>
      <c r="H356" s="42" t="s">
        <v>20</v>
      </c>
      <c r="I356" s="42">
        <v>3</v>
      </c>
      <c r="J356" s="42" t="s">
        <v>25</v>
      </c>
      <c r="K356" s="43">
        <v>1088.53</v>
      </c>
      <c r="L356" s="42">
        <v>5000</v>
      </c>
      <c r="M356" s="42" t="s">
        <v>186</v>
      </c>
      <c r="N356" s="44">
        <f t="shared" si="15"/>
        <v>0.21770599999999998</v>
      </c>
      <c r="O356" s="44">
        <f>+VLOOKUP(J356,TC!$B$6:$C$17,2,0)*PRECIOS!N356</f>
        <v>934.31366374807578</v>
      </c>
      <c r="P356" s="42" t="str">
        <f t="shared" si="16"/>
        <v>Si</v>
      </c>
      <c r="Q356" s="44">
        <f>+IF(I356=1,O356,IF(I356=2,O356/(1+MRI!$C$18),(O356/(1+MRI!$D$18))/(1+MRI!$C$18)))</f>
        <v>714.25443094511036</v>
      </c>
      <c r="R356" s="44">
        <f t="shared" si="17"/>
        <v>714.25443094511036</v>
      </c>
    </row>
    <row r="357" spans="1:18" x14ac:dyDescent="0.3">
      <c r="A357" s="55">
        <v>356</v>
      </c>
      <c r="B357" s="55" t="s">
        <v>38</v>
      </c>
      <c r="C357" s="55" t="s">
        <v>232</v>
      </c>
      <c r="D357" s="55" t="s">
        <v>182</v>
      </c>
      <c r="E357" s="55" t="s">
        <v>133</v>
      </c>
      <c r="F357" s="55" t="s">
        <v>97</v>
      </c>
      <c r="G357" s="55" t="s">
        <v>135</v>
      </c>
      <c r="H357" s="55" t="s">
        <v>20</v>
      </c>
      <c r="I357" s="55">
        <v>3</v>
      </c>
      <c r="J357" s="55" t="s">
        <v>25</v>
      </c>
      <c r="K357" s="56">
        <v>1650.91</v>
      </c>
      <c r="L357" s="55">
        <v>10000</v>
      </c>
      <c r="M357" s="55" t="s">
        <v>186</v>
      </c>
      <c r="N357" s="57">
        <f t="shared" si="15"/>
        <v>0.16509100000000002</v>
      </c>
      <c r="O357" s="57">
        <f>+VLOOKUP(J357,TC!$B$6:$C$17,2,0)*PRECIOS!N357</f>
        <v>708.50953608000509</v>
      </c>
      <c r="P357" s="55" t="str">
        <f t="shared" si="16"/>
        <v>Si</v>
      </c>
      <c r="Q357" s="57">
        <f>+IF(I357=1,O357,IF(I357=2,O357/(1+MRI!$C$18),(O357/(1+MRI!$D$18))/(1+MRI!$C$18)))</f>
        <v>541.63403056948005</v>
      </c>
      <c r="R357" s="57">
        <f t="shared" si="17"/>
        <v>541.63403056948005</v>
      </c>
    </row>
    <row r="358" spans="1:18" x14ac:dyDescent="0.3">
      <c r="A358" s="42">
        <v>357</v>
      </c>
      <c r="B358" s="42" t="s">
        <v>38</v>
      </c>
      <c r="C358" s="42" t="s">
        <v>232</v>
      </c>
      <c r="D358" s="42" t="s">
        <v>182</v>
      </c>
      <c r="E358" s="42" t="s">
        <v>80</v>
      </c>
      <c r="F358" s="42" t="s">
        <v>97</v>
      </c>
      <c r="G358" s="42" t="s">
        <v>135</v>
      </c>
      <c r="H358" s="42" t="s">
        <v>20</v>
      </c>
      <c r="I358" s="42">
        <v>3</v>
      </c>
      <c r="J358" s="42" t="s">
        <v>25</v>
      </c>
      <c r="K358" s="43">
        <v>1650.91</v>
      </c>
      <c r="L358" s="42">
        <v>10000</v>
      </c>
      <c r="M358" s="42" t="s">
        <v>186</v>
      </c>
      <c r="N358" s="44">
        <f t="shared" si="15"/>
        <v>0.16509100000000002</v>
      </c>
      <c r="O358" s="44">
        <f>+VLOOKUP(J358,TC!$B$6:$C$17,2,0)*PRECIOS!N358</f>
        <v>708.50953608000509</v>
      </c>
      <c r="P358" s="42" t="str">
        <f t="shared" si="16"/>
        <v>Si</v>
      </c>
      <c r="Q358" s="44">
        <f>+IF(I358=1,O358,IF(I358=2,O358/(1+MRI!$C$18),(O358/(1+MRI!$D$18))/(1+MRI!$C$18)))</f>
        <v>541.63403056948005</v>
      </c>
      <c r="R358" s="44">
        <f t="shared" si="17"/>
        <v>541.63403056948005</v>
      </c>
    </row>
    <row r="359" spans="1:18" x14ac:dyDescent="0.3">
      <c r="A359" s="55">
        <v>358</v>
      </c>
      <c r="B359" s="55" t="s">
        <v>38</v>
      </c>
      <c r="C359" s="55" t="s">
        <v>232</v>
      </c>
      <c r="D359" s="55" t="s">
        <v>182</v>
      </c>
      <c r="E359" s="55" t="s">
        <v>84</v>
      </c>
      <c r="F359" s="55" t="s">
        <v>97</v>
      </c>
      <c r="G359" s="55" t="s">
        <v>135</v>
      </c>
      <c r="H359" s="55" t="s">
        <v>20</v>
      </c>
      <c r="I359" s="55">
        <v>3</v>
      </c>
      <c r="J359" s="55" t="s">
        <v>25</v>
      </c>
      <c r="K359" s="56">
        <v>1088.53</v>
      </c>
      <c r="L359" s="55">
        <v>5000</v>
      </c>
      <c r="M359" s="55" t="s">
        <v>186</v>
      </c>
      <c r="N359" s="57">
        <f t="shared" si="15"/>
        <v>0.21770599999999998</v>
      </c>
      <c r="O359" s="57">
        <f>+VLOOKUP(J359,TC!$B$6:$C$17,2,0)*PRECIOS!N359</f>
        <v>934.31366374807578</v>
      </c>
      <c r="P359" s="55" t="str">
        <f t="shared" si="16"/>
        <v>Si</v>
      </c>
      <c r="Q359" s="57">
        <f>+IF(I359=1,O359,IF(I359=2,O359/(1+MRI!$C$18),(O359/(1+MRI!$D$18))/(1+MRI!$C$18)))</f>
        <v>714.25443094511036</v>
      </c>
      <c r="R359" s="57">
        <f t="shared" si="17"/>
        <v>714.25443094511036</v>
      </c>
    </row>
    <row r="360" spans="1:18" x14ac:dyDescent="0.3">
      <c r="A360" s="42">
        <v>359</v>
      </c>
      <c r="B360" s="42" t="s">
        <v>38</v>
      </c>
      <c r="C360" s="42" t="s">
        <v>232</v>
      </c>
      <c r="D360" s="42" t="s">
        <v>182</v>
      </c>
      <c r="E360" s="42" t="s">
        <v>55</v>
      </c>
      <c r="F360" s="42" t="s">
        <v>97</v>
      </c>
      <c r="G360" s="42" t="s">
        <v>135</v>
      </c>
      <c r="H360" s="42" t="s">
        <v>20</v>
      </c>
      <c r="I360" s="42">
        <v>3</v>
      </c>
      <c r="J360" s="42" t="s">
        <v>25</v>
      </c>
      <c r="K360" s="43">
        <v>1650.91</v>
      </c>
      <c r="L360" s="42">
        <v>10000</v>
      </c>
      <c r="M360" s="42" t="s">
        <v>186</v>
      </c>
      <c r="N360" s="44">
        <f t="shared" si="15"/>
        <v>0.16509100000000002</v>
      </c>
      <c r="O360" s="44">
        <f>+VLOOKUP(J360,TC!$B$6:$C$17,2,0)*PRECIOS!N360</f>
        <v>708.50953608000509</v>
      </c>
      <c r="P360" s="42" t="str">
        <f t="shared" si="16"/>
        <v>Si</v>
      </c>
      <c r="Q360" s="44">
        <f>+IF(I360=1,O360,IF(I360=2,O360/(1+MRI!$C$18),(O360/(1+MRI!$D$18))/(1+MRI!$C$18)))</f>
        <v>541.63403056948005</v>
      </c>
      <c r="R360" s="44">
        <f t="shared" si="17"/>
        <v>541.63403056948005</v>
      </c>
    </row>
    <row r="361" spans="1:18" x14ac:dyDescent="0.3">
      <c r="A361" s="55">
        <v>360</v>
      </c>
      <c r="B361" s="55" t="s">
        <v>38</v>
      </c>
      <c r="C361" s="55" t="s">
        <v>232</v>
      </c>
      <c r="D361" s="55" t="s">
        <v>182</v>
      </c>
      <c r="E361" s="55" t="s">
        <v>54</v>
      </c>
      <c r="F361" s="55" t="s">
        <v>97</v>
      </c>
      <c r="G361" s="55" t="s">
        <v>135</v>
      </c>
      <c r="H361" s="55" t="s">
        <v>20</v>
      </c>
      <c r="I361" s="55">
        <v>3</v>
      </c>
      <c r="J361" s="55" t="s">
        <v>25</v>
      </c>
      <c r="K361" s="56">
        <v>1088.53</v>
      </c>
      <c r="L361" s="55">
        <v>5000</v>
      </c>
      <c r="M361" s="55" t="s">
        <v>186</v>
      </c>
      <c r="N361" s="57">
        <f t="shared" si="15"/>
        <v>0.21770599999999998</v>
      </c>
      <c r="O361" s="57">
        <f>+VLOOKUP(J361,TC!$B$6:$C$17,2,0)*PRECIOS!N361</f>
        <v>934.31366374807578</v>
      </c>
      <c r="P361" s="55" t="str">
        <f t="shared" si="16"/>
        <v>Si</v>
      </c>
      <c r="Q361" s="57">
        <f>+IF(I361=1,O361,IF(I361=2,O361/(1+MRI!$C$18),(O361/(1+MRI!$D$18))/(1+MRI!$C$18)))</f>
        <v>714.25443094511036</v>
      </c>
      <c r="R361" s="57">
        <f t="shared" si="17"/>
        <v>714.25443094511036</v>
      </c>
    </row>
    <row r="362" spans="1:18" x14ac:dyDescent="0.3">
      <c r="A362" s="42">
        <v>361</v>
      </c>
      <c r="B362" s="42" t="s">
        <v>38</v>
      </c>
      <c r="C362" s="42" t="s">
        <v>232</v>
      </c>
      <c r="D362" s="42" t="s">
        <v>182</v>
      </c>
      <c r="E362" s="42" t="s">
        <v>85</v>
      </c>
      <c r="F362" s="42" t="s">
        <v>97</v>
      </c>
      <c r="G362" s="42" t="s">
        <v>135</v>
      </c>
      <c r="H362" s="42" t="s">
        <v>20</v>
      </c>
      <c r="I362" s="42">
        <v>3</v>
      </c>
      <c r="J362" s="42" t="s">
        <v>25</v>
      </c>
      <c r="K362" s="43">
        <v>1650.91</v>
      </c>
      <c r="L362" s="42">
        <v>10000</v>
      </c>
      <c r="M362" s="42" t="s">
        <v>186</v>
      </c>
      <c r="N362" s="44">
        <f t="shared" si="15"/>
        <v>0.16509100000000002</v>
      </c>
      <c r="O362" s="44">
        <f>+VLOOKUP(J362,TC!$B$6:$C$17,2,0)*PRECIOS!N362</f>
        <v>708.50953608000509</v>
      </c>
      <c r="P362" s="42" t="str">
        <f t="shared" si="16"/>
        <v>Si</v>
      </c>
      <c r="Q362" s="44">
        <f>+IF(I362=1,O362,IF(I362=2,O362/(1+MRI!$C$18),(O362/(1+MRI!$D$18))/(1+MRI!$C$18)))</f>
        <v>541.63403056948005</v>
      </c>
      <c r="R362" s="44">
        <f t="shared" si="17"/>
        <v>541.63403056948005</v>
      </c>
    </row>
    <row r="363" spans="1:18" x14ac:dyDescent="0.3">
      <c r="A363" s="55">
        <v>362</v>
      </c>
      <c r="B363" s="55" t="s">
        <v>38</v>
      </c>
      <c r="C363" s="55" t="s">
        <v>232</v>
      </c>
      <c r="D363" s="55" t="s">
        <v>182</v>
      </c>
      <c r="E363" s="55" t="s">
        <v>88</v>
      </c>
      <c r="F363" s="55" t="s">
        <v>97</v>
      </c>
      <c r="G363" s="55" t="s">
        <v>135</v>
      </c>
      <c r="H363" s="55" t="s">
        <v>20</v>
      </c>
      <c r="I363" s="55">
        <v>3</v>
      </c>
      <c r="J363" s="55" t="s">
        <v>25</v>
      </c>
      <c r="K363" s="56">
        <v>1088.53</v>
      </c>
      <c r="L363" s="55">
        <v>5000</v>
      </c>
      <c r="M363" s="55" t="s">
        <v>186</v>
      </c>
      <c r="N363" s="57">
        <f t="shared" si="15"/>
        <v>0.21770599999999998</v>
      </c>
      <c r="O363" s="57">
        <f>+VLOOKUP(J363,TC!$B$6:$C$17,2,0)*PRECIOS!N363</f>
        <v>934.31366374807578</v>
      </c>
      <c r="P363" s="55" t="str">
        <f t="shared" si="16"/>
        <v>Si</v>
      </c>
      <c r="Q363" s="57">
        <f>+IF(I363=1,O363,IF(I363=2,O363/(1+MRI!$C$18),(O363/(1+MRI!$D$18))/(1+MRI!$C$18)))</f>
        <v>714.25443094511036</v>
      </c>
      <c r="R363" s="57">
        <f t="shared" si="17"/>
        <v>714.25443094511036</v>
      </c>
    </row>
    <row r="364" spans="1:18" x14ac:dyDescent="0.3">
      <c r="A364" s="42">
        <v>363</v>
      </c>
      <c r="B364" s="42" t="s">
        <v>38</v>
      </c>
      <c r="C364" s="42" t="s">
        <v>232</v>
      </c>
      <c r="D364" s="42" t="s">
        <v>182</v>
      </c>
      <c r="E364" s="42" t="s">
        <v>62</v>
      </c>
      <c r="F364" s="42" t="s">
        <v>97</v>
      </c>
      <c r="G364" s="42" t="s">
        <v>135</v>
      </c>
      <c r="H364" s="42" t="s">
        <v>20</v>
      </c>
      <c r="I364" s="42">
        <v>3</v>
      </c>
      <c r="J364" s="42" t="s">
        <v>25</v>
      </c>
      <c r="K364" s="43">
        <v>1650.91</v>
      </c>
      <c r="L364" s="42">
        <v>10000</v>
      </c>
      <c r="M364" s="42" t="s">
        <v>186</v>
      </c>
      <c r="N364" s="44">
        <f t="shared" si="15"/>
        <v>0.16509100000000002</v>
      </c>
      <c r="O364" s="44">
        <f>+VLOOKUP(J364,TC!$B$6:$C$17,2,0)*PRECIOS!N364</f>
        <v>708.50953608000509</v>
      </c>
      <c r="P364" s="42" t="str">
        <f t="shared" si="16"/>
        <v>Si</v>
      </c>
      <c r="Q364" s="44">
        <f>+IF(I364=1,O364,IF(I364=2,O364/(1+MRI!$C$18),(O364/(1+MRI!$D$18))/(1+MRI!$C$18)))</f>
        <v>541.63403056948005</v>
      </c>
      <c r="R364" s="44">
        <f t="shared" si="17"/>
        <v>541.63403056948005</v>
      </c>
    </row>
    <row r="365" spans="1:18" x14ac:dyDescent="0.3">
      <c r="A365" s="55">
        <v>364</v>
      </c>
      <c r="B365" s="55" t="s">
        <v>38</v>
      </c>
      <c r="C365" s="55" t="s">
        <v>232</v>
      </c>
      <c r="D365" s="55" t="s">
        <v>182</v>
      </c>
      <c r="E365" s="55" t="s">
        <v>57</v>
      </c>
      <c r="F365" s="55" t="s">
        <v>97</v>
      </c>
      <c r="G365" s="55" t="s">
        <v>135</v>
      </c>
      <c r="H365" s="55" t="s">
        <v>20</v>
      </c>
      <c r="I365" s="55">
        <v>3</v>
      </c>
      <c r="J365" s="55" t="s">
        <v>25</v>
      </c>
      <c r="K365" s="56">
        <v>1088.53</v>
      </c>
      <c r="L365" s="55">
        <v>5000</v>
      </c>
      <c r="M365" s="55" t="s">
        <v>186</v>
      </c>
      <c r="N365" s="57">
        <f t="shared" si="15"/>
        <v>0.21770599999999998</v>
      </c>
      <c r="O365" s="57">
        <f>+VLOOKUP(J365,TC!$B$6:$C$17,2,0)*PRECIOS!N365</f>
        <v>934.31366374807578</v>
      </c>
      <c r="P365" s="55" t="str">
        <f t="shared" si="16"/>
        <v>Si</v>
      </c>
      <c r="Q365" s="57">
        <f>+IF(I365=1,O365,IF(I365=2,O365/(1+MRI!$C$18),(O365/(1+MRI!$D$18))/(1+MRI!$C$18)))</f>
        <v>714.25443094511036</v>
      </c>
      <c r="R365" s="57">
        <f t="shared" si="17"/>
        <v>714.25443094511036</v>
      </c>
    </row>
    <row r="366" spans="1:18" x14ac:dyDescent="0.3">
      <c r="A366" s="42">
        <v>365</v>
      </c>
      <c r="B366" s="42" t="s">
        <v>38</v>
      </c>
      <c r="C366" s="42" t="s">
        <v>233</v>
      </c>
      <c r="D366" s="42" t="s">
        <v>182</v>
      </c>
      <c r="E366" s="42" t="s">
        <v>50</v>
      </c>
      <c r="F366" s="42" t="s">
        <v>23</v>
      </c>
      <c r="G366" s="42" t="s">
        <v>24</v>
      </c>
      <c r="H366" s="42" t="s">
        <v>13</v>
      </c>
      <c r="I366" s="42">
        <v>2</v>
      </c>
      <c r="J366" s="42" t="s">
        <v>25</v>
      </c>
      <c r="K366" s="43">
        <v>565.73</v>
      </c>
      <c r="L366" s="42">
        <v>10000</v>
      </c>
      <c r="M366" s="42" t="s">
        <v>186</v>
      </c>
      <c r="N366" s="44">
        <f t="shared" si="15"/>
        <v>5.6573000000000005E-2</v>
      </c>
      <c r="O366" s="44">
        <f>+VLOOKUP(J366,TC!$B$6:$C$17,2,0)*PRECIOS!N366</f>
        <v>242.79040035286073</v>
      </c>
      <c r="P366" s="42" t="str">
        <f t="shared" si="16"/>
        <v>Si</v>
      </c>
      <c r="Q366" s="44">
        <f>+IF(I366=1,O366,IF(I366=2,O366/(1+MRI!$C$18),(O366/(1+MRI!$D$18))/(1+MRI!$C$18)))</f>
        <v>221.58676300126928</v>
      </c>
      <c r="R366" s="44">
        <f t="shared" si="17"/>
        <v>221.58676300126928</v>
      </c>
    </row>
    <row r="367" spans="1:18" x14ac:dyDescent="0.3">
      <c r="A367" s="55">
        <v>366</v>
      </c>
      <c r="B367" s="55" t="s">
        <v>38</v>
      </c>
      <c r="C367" s="55" t="s">
        <v>233</v>
      </c>
      <c r="D367" s="55" t="s">
        <v>182</v>
      </c>
      <c r="E367" s="55" t="s">
        <v>46</v>
      </c>
      <c r="F367" s="55" t="s">
        <v>23</v>
      </c>
      <c r="G367" s="55" t="s">
        <v>24</v>
      </c>
      <c r="H367" s="55" t="s">
        <v>13</v>
      </c>
      <c r="I367" s="55">
        <v>2</v>
      </c>
      <c r="J367" s="55" t="s">
        <v>25</v>
      </c>
      <c r="K367" s="56">
        <v>514.51</v>
      </c>
      <c r="L367" s="55">
        <v>10000</v>
      </c>
      <c r="M367" s="55" t="s">
        <v>186</v>
      </c>
      <c r="N367" s="57">
        <f t="shared" si="15"/>
        <v>5.1450999999999997E-2</v>
      </c>
      <c r="O367" s="57">
        <f>+VLOOKUP(J367,TC!$B$6:$C$17,2,0)*PRECIOS!N367</f>
        <v>220.80867001140183</v>
      </c>
      <c r="P367" s="55" t="str">
        <f t="shared" si="16"/>
        <v>Si</v>
      </c>
      <c r="Q367" s="57">
        <f>+IF(I367=1,O367,IF(I367=2,O367/(1+MRI!$C$18),(O367/(1+MRI!$D$18))/(1+MRI!$C$18)))</f>
        <v>201.52476522684501</v>
      </c>
      <c r="R367" s="57">
        <f t="shared" si="17"/>
        <v>201.52476522684501</v>
      </c>
    </row>
    <row r="368" spans="1:18" x14ac:dyDescent="0.3">
      <c r="A368" s="42">
        <v>367</v>
      </c>
      <c r="B368" s="42" t="s">
        <v>38</v>
      </c>
      <c r="C368" s="42" t="s">
        <v>233</v>
      </c>
      <c r="D368" s="42" t="s">
        <v>182</v>
      </c>
      <c r="E368" s="42" t="s">
        <v>47</v>
      </c>
      <c r="F368" s="42" t="s">
        <v>23</v>
      </c>
      <c r="G368" s="42" t="s">
        <v>24</v>
      </c>
      <c r="H368" s="42" t="s">
        <v>13</v>
      </c>
      <c r="I368" s="42">
        <v>2</v>
      </c>
      <c r="J368" s="42" t="s">
        <v>25</v>
      </c>
      <c r="K368" s="43">
        <v>858.43</v>
      </c>
      <c r="L368" s="42">
        <v>20000</v>
      </c>
      <c r="M368" s="42" t="s">
        <v>186</v>
      </c>
      <c r="N368" s="44">
        <f t="shared" si="15"/>
        <v>4.2921499999999994E-2</v>
      </c>
      <c r="O368" s="44">
        <f>+VLOOKUP(J368,TC!$B$6:$C$17,2,0)*PRECIOS!N368</f>
        <v>184.20320945937655</v>
      </c>
      <c r="P368" s="42" t="str">
        <f t="shared" si="16"/>
        <v>Si</v>
      </c>
      <c r="Q368" s="44">
        <f>+IF(I368=1,O368,IF(I368=2,O368/(1+MRI!$C$18),(O368/(1+MRI!$D$18))/(1+MRI!$C$18)))</f>
        <v>168.11617287679593</v>
      </c>
      <c r="R368" s="44">
        <f t="shared" si="17"/>
        <v>168.11617287679593</v>
      </c>
    </row>
    <row r="369" spans="1:18" x14ac:dyDescent="0.3">
      <c r="A369" s="55">
        <v>368</v>
      </c>
      <c r="B369" s="55" t="s">
        <v>38</v>
      </c>
      <c r="C369" s="55" t="s">
        <v>233</v>
      </c>
      <c r="D369" s="55" t="s">
        <v>182</v>
      </c>
      <c r="E369" s="55" t="s">
        <v>44</v>
      </c>
      <c r="F369" s="55" t="s">
        <v>23</v>
      </c>
      <c r="G369" s="55" t="s">
        <v>24</v>
      </c>
      <c r="H369" s="55" t="s">
        <v>13</v>
      </c>
      <c r="I369" s="55">
        <v>2</v>
      </c>
      <c r="J369" s="55" t="s">
        <v>25</v>
      </c>
      <c r="K369" s="56">
        <v>961.31</v>
      </c>
      <c r="L369" s="55">
        <v>20000</v>
      </c>
      <c r="M369" s="55" t="s">
        <v>186</v>
      </c>
      <c r="N369" s="57">
        <f t="shared" si="15"/>
        <v>4.8065499999999997E-2</v>
      </c>
      <c r="O369" s="57">
        <f>+VLOOKUP(J369,TC!$B$6:$C$17,2,0)*PRECIOS!N369</f>
        <v>206.27935566719859</v>
      </c>
      <c r="P369" s="55" t="str">
        <f t="shared" si="16"/>
        <v>Si</v>
      </c>
      <c r="Q369" s="57">
        <f>+IF(I369=1,O369,IF(I369=2,O369/(1+MRI!$C$18),(O369/(1+MRI!$D$18))/(1+MRI!$C$18)))</f>
        <v>188.26434088765853</v>
      </c>
      <c r="R369" s="57">
        <f t="shared" si="17"/>
        <v>188.26434088765853</v>
      </c>
    </row>
    <row r="370" spans="1:18" x14ac:dyDescent="0.3">
      <c r="A370" s="42">
        <v>369</v>
      </c>
      <c r="B370" s="42" t="s">
        <v>38</v>
      </c>
      <c r="C370" s="42" t="s">
        <v>233</v>
      </c>
      <c r="D370" s="42" t="s">
        <v>182</v>
      </c>
      <c r="E370" s="42" t="s">
        <v>45</v>
      </c>
      <c r="F370" s="42" t="s">
        <v>23</v>
      </c>
      <c r="G370" s="42" t="s">
        <v>24</v>
      </c>
      <c r="H370" s="42" t="s">
        <v>13</v>
      </c>
      <c r="I370" s="42">
        <v>2</v>
      </c>
      <c r="J370" s="42" t="s">
        <v>25</v>
      </c>
      <c r="K370" s="43">
        <v>136.29</v>
      </c>
      <c r="L370" s="42">
        <v>2500</v>
      </c>
      <c r="M370" s="42" t="s">
        <v>186</v>
      </c>
      <c r="N370" s="44">
        <f t="shared" si="15"/>
        <v>5.4515999999999995E-2</v>
      </c>
      <c r="O370" s="44">
        <f>+VLOOKUP(J370,TC!$B$6:$C$17,2,0)*PRECIOS!N370</f>
        <v>233.96251684790542</v>
      </c>
      <c r="P370" s="42" t="str">
        <f t="shared" si="16"/>
        <v>Si</v>
      </c>
      <c r="Q370" s="44">
        <f>+IF(I370=1,O370,IF(I370=2,O370/(1+MRI!$C$18),(O370/(1+MRI!$D$18))/(1+MRI!$C$18)))</f>
        <v>213.52984589428161</v>
      </c>
      <c r="R370" s="44">
        <f t="shared" si="17"/>
        <v>213.52984589428161</v>
      </c>
    </row>
    <row r="371" spans="1:18" x14ac:dyDescent="0.3">
      <c r="A371" s="55">
        <v>370</v>
      </c>
      <c r="B371" s="55" t="s">
        <v>38</v>
      </c>
      <c r="C371" s="55" t="s">
        <v>233</v>
      </c>
      <c r="D371" s="55" t="s">
        <v>182</v>
      </c>
      <c r="E371" s="55" t="s">
        <v>49</v>
      </c>
      <c r="F371" s="55" t="s">
        <v>23</v>
      </c>
      <c r="G371" s="55" t="s">
        <v>24</v>
      </c>
      <c r="H371" s="55" t="s">
        <v>13</v>
      </c>
      <c r="I371" s="55">
        <v>2</v>
      </c>
      <c r="J371" s="55" t="s">
        <v>25</v>
      </c>
      <c r="K371" s="56">
        <v>251.78</v>
      </c>
      <c r="L371" s="55">
        <v>5000</v>
      </c>
      <c r="M371" s="55" t="s">
        <v>186</v>
      </c>
      <c r="N371" s="57">
        <f t="shared" si="15"/>
        <v>5.0355999999999998E-2</v>
      </c>
      <c r="O371" s="57">
        <f>+VLOOKUP(J371,TC!$B$6:$C$17,2,0)*PRECIOS!N371</f>
        <v>216.1093348446901</v>
      </c>
      <c r="P371" s="55" t="str">
        <f t="shared" si="16"/>
        <v>Si</v>
      </c>
      <c r="Q371" s="57">
        <f>+IF(I371=1,O371,IF(I371=2,O371/(1+MRI!$C$18),(O371/(1+MRI!$D$18))/(1+MRI!$C$18)))</f>
        <v>197.23583754957158</v>
      </c>
      <c r="R371" s="57">
        <f t="shared" si="17"/>
        <v>197.23583754957158</v>
      </c>
    </row>
    <row r="372" spans="1:18" x14ac:dyDescent="0.3">
      <c r="A372" s="42">
        <v>371</v>
      </c>
      <c r="B372" s="42" t="s">
        <v>38</v>
      </c>
      <c r="C372" s="42" t="s">
        <v>233</v>
      </c>
      <c r="D372" s="42" t="s">
        <v>182</v>
      </c>
      <c r="E372" s="42" t="s">
        <v>72</v>
      </c>
      <c r="F372" s="42" t="s">
        <v>23</v>
      </c>
      <c r="G372" s="42" t="s">
        <v>48</v>
      </c>
      <c r="H372" s="42" t="s">
        <v>13</v>
      </c>
      <c r="I372" s="42">
        <v>2</v>
      </c>
      <c r="J372" s="42" t="s">
        <v>25</v>
      </c>
      <c r="K372" s="43">
        <v>99.578000000000003</v>
      </c>
      <c r="L372" s="42">
        <v>1000</v>
      </c>
      <c r="M372" s="42" t="s">
        <v>186</v>
      </c>
      <c r="N372" s="44">
        <f t="shared" si="15"/>
        <v>9.9578E-2</v>
      </c>
      <c r="O372" s="44">
        <f>+VLOOKUP(J372,TC!$B$6:$C$17,2,0)*PRECIOS!N372</f>
        <v>427.35196094138837</v>
      </c>
      <c r="P372" s="42" t="str">
        <f t="shared" si="16"/>
        <v>Si</v>
      </c>
      <c r="Q372" s="44">
        <f>+IF(I372=1,O372,IF(I372=2,O372/(1+MRI!$C$18),(O372/(1+MRI!$D$18))/(1+MRI!$C$18)))</f>
        <v>390.0299910936381</v>
      </c>
      <c r="R372" s="44">
        <f t="shared" si="17"/>
        <v>390.0299910936381</v>
      </c>
    </row>
    <row r="373" spans="1:18" x14ac:dyDescent="0.3">
      <c r="A373" s="55">
        <v>372</v>
      </c>
      <c r="B373" s="55" t="s">
        <v>38</v>
      </c>
      <c r="C373" s="55" t="s">
        <v>233</v>
      </c>
      <c r="D373" s="55" t="s">
        <v>182</v>
      </c>
      <c r="E373" s="55" t="s">
        <v>72</v>
      </c>
      <c r="F373" s="55" t="s">
        <v>23</v>
      </c>
      <c r="G373" s="55" t="s">
        <v>24</v>
      </c>
      <c r="H373" s="55" t="s">
        <v>13</v>
      </c>
      <c r="I373" s="55">
        <v>2</v>
      </c>
      <c r="J373" s="55" t="s">
        <v>25</v>
      </c>
      <c r="K373" s="56">
        <v>68.34</v>
      </c>
      <c r="L373" s="55">
        <v>1000</v>
      </c>
      <c r="M373" s="55" t="s">
        <v>186</v>
      </c>
      <c r="N373" s="57">
        <f t="shared" si="15"/>
        <v>6.8339999999999998E-2</v>
      </c>
      <c r="O373" s="57">
        <f>+VLOOKUP(J373,TC!$B$6:$C$17,2,0)*PRECIOS!N373</f>
        <v>293.29001396628252</v>
      </c>
      <c r="P373" s="55" t="str">
        <f t="shared" si="16"/>
        <v>Si</v>
      </c>
      <c r="Q373" s="57">
        <f>+IF(I373=1,O373,IF(I373=2,O373/(1+MRI!$C$18),(O373/(1+MRI!$D$18))/(1+MRI!$C$18)))</f>
        <v>267.6760890090103</v>
      </c>
      <c r="R373" s="57">
        <f t="shared" si="17"/>
        <v>267.6760890090103</v>
      </c>
    </row>
    <row r="374" spans="1:18" x14ac:dyDescent="0.3">
      <c r="A374" s="42">
        <v>373</v>
      </c>
      <c r="B374" s="42" t="s">
        <v>38</v>
      </c>
      <c r="C374" s="42" t="s">
        <v>233</v>
      </c>
      <c r="D374" s="42" t="s">
        <v>182</v>
      </c>
      <c r="E374" s="42" t="s">
        <v>77</v>
      </c>
      <c r="F374" s="42" t="s">
        <v>23</v>
      </c>
      <c r="G374" s="42" t="s">
        <v>48</v>
      </c>
      <c r="H374" s="42" t="s">
        <v>13</v>
      </c>
      <c r="I374" s="42">
        <v>2</v>
      </c>
      <c r="J374" s="42" t="s">
        <v>25</v>
      </c>
      <c r="K374" s="43">
        <v>1991.44</v>
      </c>
      <c r="L374" s="42">
        <v>20000</v>
      </c>
      <c r="M374" s="42" t="s">
        <v>186</v>
      </c>
      <c r="N374" s="44">
        <f t="shared" si="15"/>
        <v>9.9572000000000008E-2</v>
      </c>
      <c r="O374" s="44">
        <f>+VLOOKUP(J374,TC!$B$6:$C$17,2,0)*PRECIOS!N374</f>
        <v>427.32621115965298</v>
      </c>
      <c r="P374" s="42" t="str">
        <f t="shared" si="16"/>
        <v>Si</v>
      </c>
      <c r="Q374" s="44">
        <f>+IF(I374=1,O374,IF(I374=2,O374/(1+MRI!$C$18),(O374/(1+MRI!$D$18))/(1+MRI!$C$18)))</f>
        <v>390.00649012006403</v>
      </c>
      <c r="R374" s="44">
        <f t="shared" si="17"/>
        <v>390.00649012006403</v>
      </c>
    </row>
    <row r="375" spans="1:18" x14ac:dyDescent="0.3">
      <c r="A375" s="55">
        <v>374</v>
      </c>
      <c r="B375" s="55" t="s">
        <v>38</v>
      </c>
      <c r="C375" s="55" t="s">
        <v>233</v>
      </c>
      <c r="D375" s="55" t="s">
        <v>182</v>
      </c>
      <c r="E375" s="55" t="s">
        <v>77</v>
      </c>
      <c r="F375" s="55" t="s">
        <v>23</v>
      </c>
      <c r="G375" s="55" t="s">
        <v>24</v>
      </c>
      <c r="H375" s="55" t="s">
        <v>13</v>
      </c>
      <c r="I375" s="55">
        <v>2</v>
      </c>
      <c r="J375" s="55" t="s">
        <v>25</v>
      </c>
      <c r="K375" s="56">
        <v>1354.3</v>
      </c>
      <c r="L375" s="55">
        <v>20000</v>
      </c>
      <c r="M375" s="55" t="s">
        <v>186</v>
      </c>
      <c r="N375" s="57">
        <f t="shared" si="15"/>
        <v>6.7714999999999997E-2</v>
      </c>
      <c r="O375" s="57">
        <f>+VLOOKUP(J375,TC!$B$6:$C$17,2,0)*PRECIOS!N375</f>
        <v>290.60774503551096</v>
      </c>
      <c r="P375" s="55" t="str">
        <f t="shared" si="16"/>
        <v>Si</v>
      </c>
      <c r="Q375" s="57">
        <f>+IF(I375=1,O375,IF(I375=2,O375/(1+MRI!$C$18),(O375/(1+MRI!$D$18))/(1+MRI!$C$18)))</f>
        <v>265.22807092837479</v>
      </c>
      <c r="R375" s="57">
        <f t="shared" si="17"/>
        <v>265.22807092837479</v>
      </c>
    </row>
    <row r="376" spans="1:18" x14ac:dyDescent="0.3">
      <c r="A376" s="42">
        <v>375</v>
      </c>
      <c r="B376" s="42" t="s">
        <v>38</v>
      </c>
      <c r="C376" s="42" t="s">
        <v>233</v>
      </c>
      <c r="D376" s="42" t="s">
        <v>182</v>
      </c>
      <c r="E376" s="42" t="s">
        <v>78</v>
      </c>
      <c r="F376" s="42" t="s">
        <v>23</v>
      </c>
      <c r="G376" s="42" t="s">
        <v>48</v>
      </c>
      <c r="H376" s="42" t="s">
        <v>13</v>
      </c>
      <c r="I376" s="42">
        <v>2</v>
      </c>
      <c r="J376" s="42" t="s">
        <v>25</v>
      </c>
      <c r="K376" s="43">
        <v>248.94499999999999</v>
      </c>
      <c r="L376" s="42">
        <v>2500</v>
      </c>
      <c r="M376" s="42" t="s">
        <v>186</v>
      </c>
      <c r="N376" s="44">
        <f t="shared" si="15"/>
        <v>9.9578E-2</v>
      </c>
      <c r="O376" s="44">
        <f>+VLOOKUP(J376,TC!$B$6:$C$17,2,0)*PRECIOS!N376</f>
        <v>427.35196094138837</v>
      </c>
      <c r="P376" s="42" t="str">
        <f t="shared" si="16"/>
        <v>Si</v>
      </c>
      <c r="Q376" s="44">
        <f>+IF(I376=1,O376,IF(I376=2,O376/(1+MRI!$C$18),(O376/(1+MRI!$D$18))/(1+MRI!$C$18)))</f>
        <v>390.0299910936381</v>
      </c>
      <c r="R376" s="44">
        <f t="shared" si="17"/>
        <v>390.0299910936381</v>
      </c>
    </row>
    <row r="377" spans="1:18" x14ac:dyDescent="0.3">
      <c r="A377" s="55">
        <v>376</v>
      </c>
      <c r="B377" s="55" t="s">
        <v>38</v>
      </c>
      <c r="C377" s="55" t="s">
        <v>233</v>
      </c>
      <c r="D377" s="55" t="s">
        <v>182</v>
      </c>
      <c r="E377" s="55" t="s">
        <v>78</v>
      </c>
      <c r="F377" s="55" t="s">
        <v>23</v>
      </c>
      <c r="G377" s="55" t="s">
        <v>24</v>
      </c>
      <c r="H377" s="55" t="s">
        <v>13</v>
      </c>
      <c r="I377" s="55">
        <v>2</v>
      </c>
      <c r="J377" s="55" t="s">
        <v>25</v>
      </c>
      <c r="K377" s="56">
        <v>170.85</v>
      </c>
      <c r="L377" s="55">
        <v>2500</v>
      </c>
      <c r="M377" s="55" t="s">
        <v>186</v>
      </c>
      <c r="N377" s="57">
        <f t="shared" si="15"/>
        <v>6.8339999999999998E-2</v>
      </c>
      <c r="O377" s="57">
        <f>+VLOOKUP(J377,TC!$B$6:$C$17,2,0)*PRECIOS!N377</f>
        <v>293.29001396628252</v>
      </c>
      <c r="P377" s="55" t="str">
        <f t="shared" si="16"/>
        <v>Si</v>
      </c>
      <c r="Q377" s="57">
        <f>+IF(I377=1,O377,IF(I377=2,O377/(1+MRI!$C$18),(O377/(1+MRI!$D$18))/(1+MRI!$C$18)))</f>
        <v>267.6760890090103</v>
      </c>
      <c r="R377" s="57">
        <f t="shared" si="17"/>
        <v>267.6760890090103</v>
      </c>
    </row>
    <row r="378" spans="1:18" x14ac:dyDescent="0.3">
      <c r="A378" s="42">
        <v>377</v>
      </c>
      <c r="B378" s="42" t="s">
        <v>38</v>
      </c>
      <c r="C378" s="42" t="s">
        <v>233</v>
      </c>
      <c r="D378" s="42" t="s">
        <v>182</v>
      </c>
      <c r="E378" s="42" t="s">
        <v>79</v>
      </c>
      <c r="F378" s="42" t="s">
        <v>23</v>
      </c>
      <c r="G378" s="42" t="s">
        <v>48</v>
      </c>
      <c r="H378" s="42" t="s">
        <v>13</v>
      </c>
      <c r="I378" s="42">
        <v>2</v>
      </c>
      <c r="J378" s="42" t="s">
        <v>25</v>
      </c>
      <c r="K378" s="43">
        <v>497.89</v>
      </c>
      <c r="L378" s="42">
        <v>5000</v>
      </c>
      <c r="M378" s="42" t="s">
        <v>186</v>
      </c>
      <c r="N378" s="44">
        <f t="shared" si="15"/>
        <v>9.9578E-2</v>
      </c>
      <c r="O378" s="44">
        <f>+VLOOKUP(J378,TC!$B$6:$C$17,2,0)*PRECIOS!N378</f>
        <v>427.35196094138837</v>
      </c>
      <c r="P378" s="42" t="str">
        <f t="shared" si="16"/>
        <v>Si</v>
      </c>
      <c r="Q378" s="44">
        <f>+IF(I378=1,O378,IF(I378=2,O378/(1+MRI!$C$18),(O378/(1+MRI!$D$18))/(1+MRI!$C$18)))</f>
        <v>390.0299910936381</v>
      </c>
      <c r="R378" s="44">
        <f t="shared" si="17"/>
        <v>390.0299910936381</v>
      </c>
    </row>
    <row r="379" spans="1:18" x14ac:dyDescent="0.3">
      <c r="A379" s="55">
        <v>378</v>
      </c>
      <c r="B379" s="55" t="s">
        <v>38</v>
      </c>
      <c r="C379" s="55" t="s">
        <v>233</v>
      </c>
      <c r="D379" s="55" t="s">
        <v>182</v>
      </c>
      <c r="E379" s="55" t="s">
        <v>79</v>
      </c>
      <c r="F379" s="55" t="s">
        <v>23</v>
      </c>
      <c r="G379" s="55" t="s">
        <v>24</v>
      </c>
      <c r="H379" s="55" t="s">
        <v>13</v>
      </c>
      <c r="I379" s="55">
        <v>2</v>
      </c>
      <c r="J379" s="55" t="s">
        <v>25</v>
      </c>
      <c r="K379" s="56">
        <v>336.44</v>
      </c>
      <c r="L379" s="55">
        <v>5000</v>
      </c>
      <c r="M379" s="55" t="s">
        <v>186</v>
      </c>
      <c r="N379" s="57">
        <f t="shared" si="15"/>
        <v>6.7288000000000001E-2</v>
      </c>
      <c r="O379" s="57">
        <f>+VLOOKUP(J379,TC!$B$6:$C$17,2,0)*PRECIOS!N379</f>
        <v>288.77521890200785</v>
      </c>
      <c r="P379" s="55" t="str">
        <f t="shared" si="16"/>
        <v>Si</v>
      </c>
      <c r="Q379" s="57">
        <f>+IF(I379=1,O379,IF(I379=2,O379/(1+MRI!$C$18),(O379/(1+MRI!$D$18))/(1+MRI!$C$18)))</f>
        <v>263.55558497568455</v>
      </c>
      <c r="R379" s="57">
        <f t="shared" si="17"/>
        <v>263.55558497568455</v>
      </c>
    </row>
    <row r="380" spans="1:18" x14ac:dyDescent="0.3">
      <c r="A380" s="42">
        <v>379</v>
      </c>
      <c r="B380" s="42" t="s">
        <v>38</v>
      </c>
      <c r="C380" s="42" t="s">
        <v>233</v>
      </c>
      <c r="D380" s="42" t="s">
        <v>182</v>
      </c>
      <c r="E380" s="42" t="s">
        <v>73</v>
      </c>
      <c r="F380" s="42" t="s">
        <v>23</v>
      </c>
      <c r="G380" s="42" t="s">
        <v>48</v>
      </c>
      <c r="H380" s="42" t="s">
        <v>13</v>
      </c>
      <c r="I380" s="42">
        <v>2</v>
      </c>
      <c r="J380" s="42" t="s">
        <v>25</v>
      </c>
      <c r="K380" s="43">
        <v>1799.12</v>
      </c>
      <c r="L380" s="42">
        <v>20000</v>
      </c>
      <c r="M380" s="42" t="s">
        <v>186</v>
      </c>
      <c r="N380" s="44">
        <f t="shared" si="15"/>
        <v>8.9955999999999994E-2</v>
      </c>
      <c r="O380" s="44">
        <f>+VLOOKUP(J380,TC!$B$6:$C$17,2,0)*PRECIOS!N380</f>
        <v>386.05789429837444</v>
      </c>
      <c r="P380" s="42" t="str">
        <f t="shared" si="16"/>
        <v>Si</v>
      </c>
      <c r="Q380" s="44">
        <f>+IF(I380=1,O380,IF(I380=2,O380/(1+MRI!$C$18),(O380/(1+MRI!$D$18))/(1+MRI!$C$18)))</f>
        <v>352.34226313863815</v>
      </c>
      <c r="R380" s="44">
        <f t="shared" si="17"/>
        <v>352.34226313863815</v>
      </c>
    </row>
    <row r="381" spans="1:18" x14ac:dyDescent="0.3">
      <c r="A381" s="55">
        <v>380</v>
      </c>
      <c r="B381" s="55" t="s">
        <v>38</v>
      </c>
      <c r="C381" s="55" t="s">
        <v>233</v>
      </c>
      <c r="D381" s="55" t="s">
        <v>182</v>
      </c>
      <c r="E381" s="55" t="s">
        <v>73</v>
      </c>
      <c r="F381" s="55" t="s">
        <v>23</v>
      </c>
      <c r="G381" s="55" t="s">
        <v>24</v>
      </c>
      <c r="H381" s="55" t="s">
        <v>13</v>
      </c>
      <c r="I381" s="55">
        <v>2</v>
      </c>
      <c r="J381" s="55" t="s">
        <v>25</v>
      </c>
      <c r="K381" s="56">
        <v>1139.48</v>
      </c>
      <c r="L381" s="55">
        <v>20000</v>
      </c>
      <c r="M381" s="55" t="s">
        <v>186</v>
      </c>
      <c r="N381" s="57">
        <f t="shared" si="15"/>
        <v>5.6974000000000004E-2</v>
      </c>
      <c r="O381" s="57">
        <f>+VLOOKUP(J381,TC!$B$6:$C$17,2,0)*PRECIOS!N381</f>
        <v>244.51134409884372</v>
      </c>
      <c r="P381" s="55" t="str">
        <f t="shared" si="16"/>
        <v>Si</v>
      </c>
      <c r="Q381" s="57">
        <f>+IF(I381=1,O381,IF(I381=2,O381/(1+MRI!$C$18),(O381/(1+MRI!$D$18))/(1+MRI!$C$18)))</f>
        <v>223.15741140180498</v>
      </c>
      <c r="R381" s="57">
        <f t="shared" si="17"/>
        <v>223.15741140180498</v>
      </c>
    </row>
    <row r="382" spans="1:18" x14ac:dyDescent="0.3">
      <c r="A382" s="42">
        <v>381</v>
      </c>
      <c r="B382" s="42" t="s">
        <v>38</v>
      </c>
      <c r="C382" s="42" t="s">
        <v>233</v>
      </c>
      <c r="D382" s="42" t="s">
        <v>182</v>
      </c>
      <c r="E382" s="42" t="s">
        <v>55</v>
      </c>
      <c r="F382" s="42" t="s">
        <v>23</v>
      </c>
      <c r="G382" s="42" t="s">
        <v>48</v>
      </c>
      <c r="H382" s="42" t="s">
        <v>13</v>
      </c>
      <c r="I382" s="42">
        <v>2</v>
      </c>
      <c r="J382" s="42" t="s">
        <v>25</v>
      </c>
      <c r="K382" s="43">
        <v>899.56</v>
      </c>
      <c r="L382" s="42">
        <v>10000</v>
      </c>
      <c r="M382" s="42" t="s">
        <v>186</v>
      </c>
      <c r="N382" s="44">
        <f t="shared" si="15"/>
        <v>8.9955999999999994E-2</v>
      </c>
      <c r="O382" s="44">
        <f>+VLOOKUP(J382,TC!$B$6:$C$17,2,0)*PRECIOS!N382</f>
        <v>386.05789429837444</v>
      </c>
      <c r="P382" s="42" t="str">
        <f t="shared" si="16"/>
        <v>Si</v>
      </c>
      <c r="Q382" s="44">
        <f>+IF(I382=1,O382,IF(I382=2,O382/(1+MRI!$C$18),(O382/(1+MRI!$D$18))/(1+MRI!$C$18)))</f>
        <v>352.34226313863815</v>
      </c>
      <c r="R382" s="44">
        <f t="shared" si="17"/>
        <v>352.34226313863815</v>
      </c>
    </row>
    <row r="383" spans="1:18" x14ac:dyDescent="0.3">
      <c r="A383" s="55">
        <v>382</v>
      </c>
      <c r="B383" s="55" t="s">
        <v>38</v>
      </c>
      <c r="C383" s="55" t="s">
        <v>233</v>
      </c>
      <c r="D383" s="55" t="s">
        <v>182</v>
      </c>
      <c r="E383" s="55" t="s">
        <v>55</v>
      </c>
      <c r="F383" s="55" t="s">
        <v>23</v>
      </c>
      <c r="G383" s="55" t="s">
        <v>24</v>
      </c>
      <c r="H383" s="55" t="s">
        <v>13</v>
      </c>
      <c r="I383" s="55">
        <v>2</v>
      </c>
      <c r="J383" s="55" t="s">
        <v>25</v>
      </c>
      <c r="K383" s="56">
        <v>580.58000000000004</v>
      </c>
      <c r="L383" s="55">
        <v>10000</v>
      </c>
      <c r="M383" s="55" t="s">
        <v>186</v>
      </c>
      <c r="N383" s="57">
        <f t="shared" si="15"/>
        <v>5.8058000000000005E-2</v>
      </c>
      <c r="O383" s="57">
        <f>+VLOOKUP(J383,TC!$B$6:$C$17,2,0)*PRECIOS!N383</f>
        <v>249.16347133237389</v>
      </c>
      <c r="P383" s="55" t="str">
        <f t="shared" si="16"/>
        <v>Si</v>
      </c>
      <c r="Q383" s="57">
        <f>+IF(I383=1,O383,IF(I383=2,O383/(1+MRI!$C$18),(O383/(1+MRI!$D$18))/(1+MRI!$C$18)))</f>
        <v>227.40325396085925</v>
      </c>
      <c r="R383" s="57">
        <f t="shared" si="17"/>
        <v>227.40325396085925</v>
      </c>
    </row>
    <row r="384" spans="1:18" x14ac:dyDescent="0.3">
      <c r="A384" s="42">
        <v>383</v>
      </c>
      <c r="B384" s="42" t="s">
        <v>38</v>
      </c>
      <c r="C384" s="42" t="s">
        <v>233</v>
      </c>
      <c r="D384" s="42" t="s">
        <v>182</v>
      </c>
      <c r="E384" s="42" t="s">
        <v>64</v>
      </c>
      <c r="F384" s="42" t="s">
        <v>23</v>
      </c>
      <c r="G384" s="42" t="s">
        <v>48</v>
      </c>
      <c r="H384" s="42" t="s">
        <v>13</v>
      </c>
      <c r="I384" s="42">
        <v>2</v>
      </c>
      <c r="J384" s="42" t="s">
        <v>25</v>
      </c>
      <c r="K384" s="43">
        <v>89.956000000000003</v>
      </c>
      <c r="L384" s="42">
        <v>1000</v>
      </c>
      <c r="M384" s="42" t="s">
        <v>186</v>
      </c>
      <c r="N384" s="44">
        <f t="shared" si="15"/>
        <v>8.9956000000000008E-2</v>
      </c>
      <c r="O384" s="44">
        <f>+VLOOKUP(J384,TC!$B$6:$C$17,2,0)*PRECIOS!N384</f>
        <v>386.05789429837449</v>
      </c>
      <c r="P384" s="42" t="str">
        <f t="shared" si="16"/>
        <v>Si</v>
      </c>
      <c r="Q384" s="44">
        <f>+IF(I384=1,O384,IF(I384=2,O384/(1+MRI!$C$18),(O384/(1+MRI!$D$18))/(1+MRI!$C$18)))</f>
        <v>352.3422631386382</v>
      </c>
      <c r="R384" s="44">
        <f t="shared" si="17"/>
        <v>352.3422631386382</v>
      </c>
    </row>
    <row r="385" spans="1:18" x14ac:dyDescent="0.3">
      <c r="A385" s="55">
        <v>384</v>
      </c>
      <c r="B385" s="55" t="s">
        <v>38</v>
      </c>
      <c r="C385" s="55" t="s">
        <v>233</v>
      </c>
      <c r="D385" s="55" t="s">
        <v>182</v>
      </c>
      <c r="E385" s="55" t="s">
        <v>64</v>
      </c>
      <c r="F385" s="55" t="s">
        <v>23</v>
      </c>
      <c r="G385" s="55" t="s">
        <v>24</v>
      </c>
      <c r="H385" s="55" t="s">
        <v>13</v>
      </c>
      <c r="I385" s="55">
        <v>2</v>
      </c>
      <c r="J385" s="55" t="s">
        <v>25</v>
      </c>
      <c r="K385" s="56">
        <v>57.03</v>
      </c>
      <c r="L385" s="55">
        <v>1000</v>
      </c>
      <c r="M385" s="55" t="s">
        <v>186</v>
      </c>
      <c r="N385" s="57">
        <f t="shared" si="15"/>
        <v>5.7030000000000004E-2</v>
      </c>
      <c r="O385" s="57">
        <f>+VLOOKUP(J385,TC!$B$6:$C$17,2,0)*PRECIOS!N385</f>
        <v>244.75167539504088</v>
      </c>
      <c r="P385" s="55" t="str">
        <f t="shared" si="16"/>
        <v>Si</v>
      </c>
      <c r="Q385" s="57">
        <f>+IF(I385=1,O385,IF(I385=2,O385/(1+MRI!$C$18),(O385/(1+MRI!$D$18))/(1+MRI!$C$18)))</f>
        <v>223.37675382182996</v>
      </c>
      <c r="R385" s="57">
        <f t="shared" si="17"/>
        <v>223.37675382182996</v>
      </c>
    </row>
    <row r="386" spans="1:18" x14ac:dyDescent="0.3">
      <c r="A386" s="42">
        <v>385</v>
      </c>
      <c r="B386" s="42" t="s">
        <v>38</v>
      </c>
      <c r="C386" s="42" t="s">
        <v>233</v>
      </c>
      <c r="D386" s="42" t="s">
        <v>182</v>
      </c>
      <c r="E386" s="42" t="s">
        <v>63</v>
      </c>
      <c r="F386" s="42" t="s">
        <v>23</v>
      </c>
      <c r="G386" s="42" t="s">
        <v>48</v>
      </c>
      <c r="H386" s="42" t="s">
        <v>13</v>
      </c>
      <c r="I386" s="42">
        <v>2</v>
      </c>
      <c r="J386" s="42" t="s">
        <v>25</v>
      </c>
      <c r="K386" s="43">
        <v>224.89000000000001</v>
      </c>
      <c r="L386" s="42">
        <v>2500</v>
      </c>
      <c r="M386" s="42" t="s">
        <v>186</v>
      </c>
      <c r="N386" s="44">
        <f t="shared" si="15"/>
        <v>8.9956000000000008E-2</v>
      </c>
      <c r="O386" s="44">
        <f>+VLOOKUP(J386,TC!$B$6:$C$17,2,0)*PRECIOS!N386</f>
        <v>386.05789429837449</v>
      </c>
      <c r="P386" s="42" t="str">
        <f t="shared" si="16"/>
        <v>Si</v>
      </c>
      <c r="Q386" s="44">
        <f>+IF(I386=1,O386,IF(I386=2,O386/(1+MRI!$C$18),(O386/(1+MRI!$D$18))/(1+MRI!$C$18)))</f>
        <v>352.3422631386382</v>
      </c>
      <c r="R386" s="44">
        <f t="shared" si="17"/>
        <v>352.3422631386382</v>
      </c>
    </row>
    <row r="387" spans="1:18" x14ac:dyDescent="0.3">
      <c r="A387" s="55">
        <v>386</v>
      </c>
      <c r="B387" s="55" t="s">
        <v>38</v>
      </c>
      <c r="C387" s="55" t="s">
        <v>233</v>
      </c>
      <c r="D387" s="55" t="s">
        <v>182</v>
      </c>
      <c r="E387" s="55" t="s">
        <v>63</v>
      </c>
      <c r="F387" s="55" t="s">
        <v>23</v>
      </c>
      <c r="G387" s="55" t="s">
        <v>24</v>
      </c>
      <c r="H387" s="55" t="s">
        <v>13</v>
      </c>
      <c r="I387" s="55">
        <v>2</v>
      </c>
      <c r="J387" s="55" t="s">
        <v>25</v>
      </c>
      <c r="K387" s="56">
        <v>149.76</v>
      </c>
      <c r="L387" s="55">
        <v>2500</v>
      </c>
      <c r="M387" s="55" t="s">
        <v>186</v>
      </c>
      <c r="N387" s="57">
        <f t="shared" ref="N387:N450" si="18">+K387/L387</f>
        <v>5.9903999999999999E-2</v>
      </c>
      <c r="O387" s="57">
        <f>+VLOOKUP(J387,TC!$B$6:$C$17,2,0)*PRECIOS!N387</f>
        <v>257.08582084630063</v>
      </c>
      <c r="P387" s="55" t="str">
        <f t="shared" ref="P387:P450" si="19">IF(_xlfn.MINIFS($I:$I,$F:$F,F387,$E:$E,E387)=I387,"Si","No")</f>
        <v>Si</v>
      </c>
      <c r="Q387" s="57">
        <f>+IF(I387=1,O387,IF(I387=2,O387/(1+MRI!$C$18),(O387/(1+MRI!$D$18))/(1+MRI!$C$18)))</f>
        <v>234.63372016382428</v>
      </c>
      <c r="R387" s="57">
        <f t="shared" ref="R387:R450" si="20">+IF(P387="Si",Q387,"")</f>
        <v>234.63372016382428</v>
      </c>
    </row>
    <row r="388" spans="1:18" x14ac:dyDescent="0.3">
      <c r="A388" s="42">
        <v>387</v>
      </c>
      <c r="B388" s="42" t="s">
        <v>38</v>
      </c>
      <c r="C388" s="42" t="s">
        <v>233</v>
      </c>
      <c r="D388" s="42" t="s">
        <v>182</v>
      </c>
      <c r="E388" s="42" t="s">
        <v>65</v>
      </c>
      <c r="F388" s="42" t="s">
        <v>23</v>
      </c>
      <c r="G388" s="42" t="s">
        <v>48</v>
      </c>
      <c r="H388" s="42" t="s">
        <v>13</v>
      </c>
      <c r="I388" s="42">
        <v>2</v>
      </c>
      <c r="J388" s="42" t="s">
        <v>25</v>
      </c>
      <c r="K388" s="43">
        <v>449.78000000000003</v>
      </c>
      <c r="L388" s="42">
        <v>5000</v>
      </c>
      <c r="M388" s="42" t="s">
        <v>186</v>
      </c>
      <c r="N388" s="44">
        <f t="shared" si="18"/>
        <v>8.9956000000000008E-2</v>
      </c>
      <c r="O388" s="44">
        <f>+VLOOKUP(J388,TC!$B$6:$C$17,2,0)*PRECIOS!N388</f>
        <v>386.05789429837449</v>
      </c>
      <c r="P388" s="42" t="str">
        <f t="shared" si="19"/>
        <v>Si</v>
      </c>
      <c r="Q388" s="44">
        <f>+IF(I388=1,O388,IF(I388=2,O388/(1+MRI!$C$18),(O388/(1+MRI!$D$18))/(1+MRI!$C$18)))</f>
        <v>352.3422631386382</v>
      </c>
      <c r="R388" s="44">
        <f t="shared" si="20"/>
        <v>352.3422631386382</v>
      </c>
    </row>
    <row r="389" spans="1:18" x14ac:dyDescent="0.3">
      <c r="A389" s="55">
        <v>388</v>
      </c>
      <c r="B389" s="55" t="s">
        <v>38</v>
      </c>
      <c r="C389" s="55" t="s">
        <v>233</v>
      </c>
      <c r="D389" s="55" t="s">
        <v>182</v>
      </c>
      <c r="E389" s="55" t="s">
        <v>65</v>
      </c>
      <c r="F389" s="55" t="s">
        <v>23</v>
      </c>
      <c r="G389" s="55" t="s">
        <v>24</v>
      </c>
      <c r="H389" s="55" t="s">
        <v>13</v>
      </c>
      <c r="I389" s="55">
        <v>2</v>
      </c>
      <c r="J389" s="55" t="s">
        <v>25</v>
      </c>
      <c r="K389" s="56">
        <v>295.26</v>
      </c>
      <c r="L389" s="55">
        <v>5000</v>
      </c>
      <c r="M389" s="55" t="s">
        <v>186</v>
      </c>
      <c r="N389" s="57">
        <f t="shared" si="18"/>
        <v>5.9052E-2</v>
      </c>
      <c r="O389" s="57">
        <f>+VLOOKUP(J389,TC!$B$6:$C$17,2,0)*PRECIOS!N389</f>
        <v>253.42935183987291</v>
      </c>
      <c r="P389" s="55" t="str">
        <f t="shared" si="19"/>
        <v>Si</v>
      </c>
      <c r="Q389" s="57">
        <f>+IF(I389=1,O389,IF(I389=2,O389/(1+MRI!$C$18),(O389/(1+MRI!$D$18))/(1+MRI!$C$18)))</f>
        <v>231.29658191630196</v>
      </c>
      <c r="R389" s="57">
        <f t="shared" si="20"/>
        <v>231.29658191630196</v>
      </c>
    </row>
    <row r="390" spans="1:18" x14ac:dyDescent="0.3">
      <c r="A390" s="42">
        <v>389</v>
      </c>
      <c r="B390" s="42" t="s">
        <v>38</v>
      </c>
      <c r="C390" s="42" t="s">
        <v>233</v>
      </c>
      <c r="D390" s="42" t="s">
        <v>182</v>
      </c>
      <c r="E390" s="42" t="s">
        <v>54</v>
      </c>
      <c r="F390" s="42" t="s">
        <v>23</v>
      </c>
      <c r="G390" s="42" t="s">
        <v>48</v>
      </c>
      <c r="H390" s="42" t="s">
        <v>13</v>
      </c>
      <c r="I390" s="42">
        <v>2</v>
      </c>
      <c r="J390" s="42" t="s">
        <v>25</v>
      </c>
      <c r="K390" s="43">
        <v>449.78000000000003</v>
      </c>
      <c r="L390" s="42">
        <v>5000</v>
      </c>
      <c r="M390" s="42" t="s">
        <v>186</v>
      </c>
      <c r="N390" s="44">
        <f t="shared" si="18"/>
        <v>8.9956000000000008E-2</v>
      </c>
      <c r="O390" s="44">
        <f>+VLOOKUP(J390,TC!$B$6:$C$17,2,0)*PRECIOS!N390</f>
        <v>386.05789429837449</v>
      </c>
      <c r="P390" s="42" t="str">
        <f t="shared" si="19"/>
        <v>Si</v>
      </c>
      <c r="Q390" s="44">
        <f>+IF(I390=1,O390,IF(I390=2,O390/(1+MRI!$C$18),(O390/(1+MRI!$D$18))/(1+MRI!$C$18)))</f>
        <v>352.3422631386382</v>
      </c>
      <c r="R390" s="44">
        <f t="shared" si="20"/>
        <v>352.3422631386382</v>
      </c>
    </row>
    <row r="391" spans="1:18" x14ac:dyDescent="0.3">
      <c r="A391" s="55">
        <v>390</v>
      </c>
      <c r="B391" s="55" t="s">
        <v>38</v>
      </c>
      <c r="C391" s="55" t="s">
        <v>233</v>
      </c>
      <c r="D391" s="55" t="s">
        <v>182</v>
      </c>
      <c r="E391" s="55" t="s">
        <v>54</v>
      </c>
      <c r="F391" s="55" t="s">
        <v>23</v>
      </c>
      <c r="G391" s="55" t="s">
        <v>24</v>
      </c>
      <c r="H391" s="55" t="s">
        <v>13</v>
      </c>
      <c r="I391" s="55">
        <v>2</v>
      </c>
      <c r="J391" s="55" t="s">
        <v>25</v>
      </c>
      <c r="K391" s="56">
        <v>277.44</v>
      </c>
      <c r="L391" s="55">
        <v>5000</v>
      </c>
      <c r="M391" s="55" t="s">
        <v>186</v>
      </c>
      <c r="N391" s="57">
        <f t="shared" si="18"/>
        <v>5.5488000000000003E-2</v>
      </c>
      <c r="O391" s="57">
        <f>+VLOOKUP(J391,TC!$B$6:$C$17,2,0)*PRECIOS!N391</f>
        <v>238.13398148904133</v>
      </c>
      <c r="P391" s="55" t="str">
        <f t="shared" si="19"/>
        <v>Si</v>
      </c>
      <c r="Q391" s="57">
        <f>+IF(I391=1,O391,IF(I391=2,O391/(1+MRI!$C$18),(O391/(1+MRI!$D$18))/(1+MRI!$C$18)))</f>
        <v>217.33700361328599</v>
      </c>
      <c r="R391" s="57">
        <f t="shared" si="20"/>
        <v>217.33700361328599</v>
      </c>
    </row>
    <row r="392" spans="1:18" x14ac:dyDescent="0.3">
      <c r="A392" s="42">
        <v>391</v>
      </c>
      <c r="B392" s="42" t="s">
        <v>38</v>
      </c>
      <c r="C392" s="42" t="s">
        <v>233</v>
      </c>
      <c r="D392" s="42" t="s">
        <v>182</v>
      </c>
      <c r="E392" s="42" t="s">
        <v>85</v>
      </c>
      <c r="F392" s="42" t="s">
        <v>23</v>
      </c>
      <c r="G392" s="42" t="s">
        <v>48</v>
      </c>
      <c r="H392" s="42" t="s">
        <v>13</v>
      </c>
      <c r="I392" s="42">
        <v>2</v>
      </c>
      <c r="J392" s="42" t="s">
        <v>25</v>
      </c>
      <c r="K392" s="43">
        <v>1328.8200000000002</v>
      </c>
      <c r="L392" s="42">
        <v>10000</v>
      </c>
      <c r="M392" s="42" t="s">
        <v>186</v>
      </c>
      <c r="N392" s="44">
        <f t="shared" si="18"/>
        <v>0.13288200000000003</v>
      </c>
      <c r="O392" s="44">
        <f>+VLOOKUP(J392,TC!$B$6:$C$17,2,0)*PRECIOS!N392</f>
        <v>570.28041609405273</v>
      </c>
      <c r="P392" s="42" t="str">
        <f t="shared" si="19"/>
        <v>Si</v>
      </c>
      <c r="Q392" s="44">
        <f>+IF(I392=1,O392,IF(I392=2,O392/(1+MRI!$C$18),(O392/(1+MRI!$D$18))/(1+MRI!$C$18)))</f>
        <v>520.47606174561486</v>
      </c>
      <c r="R392" s="44">
        <f t="shared" si="20"/>
        <v>520.47606174561486</v>
      </c>
    </row>
    <row r="393" spans="1:18" x14ac:dyDescent="0.3">
      <c r="A393" s="55">
        <v>392</v>
      </c>
      <c r="B393" s="55" t="s">
        <v>38</v>
      </c>
      <c r="C393" s="55" t="s">
        <v>233</v>
      </c>
      <c r="D393" s="55" t="s">
        <v>182</v>
      </c>
      <c r="E393" s="55" t="s">
        <v>85</v>
      </c>
      <c r="F393" s="55" t="s">
        <v>23</v>
      </c>
      <c r="G393" s="55" t="s">
        <v>24</v>
      </c>
      <c r="H393" s="55" t="s">
        <v>13</v>
      </c>
      <c r="I393" s="55">
        <v>2</v>
      </c>
      <c r="J393" s="55" t="s">
        <v>25</v>
      </c>
      <c r="K393" s="56">
        <v>1358.57</v>
      </c>
      <c r="L393" s="55">
        <v>10000</v>
      </c>
      <c r="M393" s="55" t="s">
        <v>186</v>
      </c>
      <c r="N393" s="57">
        <f t="shared" si="18"/>
        <v>0.13585700000000001</v>
      </c>
      <c r="O393" s="57">
        <f>+VLOOKUP(J393,TC!$B$6:$C$17,2,0)*PRECIOS!N393</f>
        <v>583.04801620452508</v>
      </c>
      <c r="P393" s="55" t="str">
        <f t="shared" si="19"/>
        <v>Si</v>
      </c>
      <c r="Q393" s="57">
        <f>+IF(I393=1,O393,IF(I393=2,O393/(1+MRI!$C$18),(O393/(1+MRI!$D$18))/(1+MRI!$C$18)))</f>
        <v>532.12862780943976</v>
      </c>
      <c r="R393" s="57">
        <f t="shared" si="20"/>
        <v>532.12862780943976</v>
      </c>
    </row>
    <row r="394" spans="1:18" x14ac:dyDescent="0.3">
      <c r="A394" s="42">
        <v>393</v>
      </c>
      <c r="B394" s="42" t="s">
        <v>38</v>
      </c>
      <c r="C394" s="42" t="s">
        <v>233</v>
      </c>
      <c r="D394" s="42" t="s">
        <v>182</v>
      </c>
      <c r="E394" s="42" t="s">
        <v>86</v>
      </c>
      <c r="F394" s="42" t="s">
        <v>23</v>
      </c>
      <c r="G394" s="42" t="s">
        <v>48</v>
      </c>
      <c r="H394" s="42" t="s">
        <v>13</v>
      </c>
      <c r="I394" s="42">
        <v>2</v>
      </c>
      <c r="J394" s="42" t="s">
        <v>25</v>
      </c>
      <c r="K394" s="43">
        <v>2657.6400000000003</v>
      </c>
      <c r="L394" s="42">
        <v>20000</v>
      </c>
      <c r="M394" s="42" t="s">
        <v>186</v>
      </c>
      <c r="N394" s="44">
        <f t="shared" si="18"/>
        <v>0.13288200000000003</v>
      </c>
      <c r="O394" s="44">
        <f>+VLOOKUP(J394,TC!$B$6:$C$17,2,0)*PRECIOS!N394</f>
        <v>570.28041609405273</v>
      </c>
      <c r="P394" s="42" t="str">
        <f t="shared" si="19"/>
        <v>Si</v>
      </c>
      <c r="Q394" s="44">
        <f>+IF(I394=1,O394,IF(I394=2,O394/(1+MRI!$C$18),(O394/(1+MRI!$D$18))/(1+MRI!$C$18)))</f>
        <v>520.47606174561486</v>
      </c>
      <c r="R394" s="44">
        <f t="shared" si="20"/>
        <v>520.47606174561486</v>
      </c>
    </row>
    <row r="395" spans="1:18" x14ac:dyDescent="0.3">
      <c r="A395" s="55">
        <v>394</v>
      </c>
      <c r="B395" s="55" t="s">
        <v>38</v>
      </c>
      <c r="C395" s="55" t="s">
        <v>233</v>
      </c>
      <c r="D395" s="55" t="s">
        <v>182</v>
      </c>
      <c r="E395" s="55" t="s">
        <v>86</v>
      </c>
      <c r="F395" s="55" t="s">
        <v>23</v>
      </c>
      <c r="G395" s="55" t="s">
        <v>24</v>
      </c>
      <c r="H395" s="55" t="s">
        <v>13</v>
      </c>
      <c r="I395" s="55">
        <v>2</v>
      </c>
      <c r="J395" s="55" t="s">
        <v>25</v>
      </c>
      <c r="K395" s="56">
        <v>2744.06</v>
      </c>
      <c r="L395" s="55">
        <v>20000</v>
      </c>
      <c r="M395" s="55" t="s">
        <v>186</v>
      </c>
      <c r="N395" s="57">
        <f t="shared" si="18"/>
        <v>0.13720299999999999</v>
      </c>
      <c r="O395" s="57">
        <f>+VLOOKUP(J395,TC!$B$6:$C$17,2,0)*PRECIOS!N395</f>
        <v>588.82455057383459</v>
      </c>
      <c r="P395" s="55" t="str">
        <f t="shared" si="19"/>
        <v>Si</v>
      </c>
      <c r="Q395" s="57">
        <f>+IF(I395=1,O395,IF(I395=2,O395/(1+MRI!$C$18),(O395/(1+MRI!$D$18))/(1+MRI!$C$18)))</f>
        <v>537.4006795478964</v>
      </c>
      <c r="R395" s="57">
        <f t="shared" si="20"/>
        <v>537.4006795478964</v>
      </c>
    </row>
    <row r="396" spans="1:18" x14ac:dyDescent="0.3">
      <c r="A396" s="42">
        <v>395</v>
      </c>
      <c r="B396" s="42" t="s">
        <v>38</v>
      </c>
      <c r="C396" s="42" t="s">
        <v>233</v>
      </c>
      <c r="D396" s="42" t="s">
        <v>182</v>
      </c>
      <c r="E396" s="42" t="s">
        <v>87</v>
      </c>
      <c r="F396" s="42" t="s">
        <v>23</v>
      </c>
      <c r="G396" s="42" t="s">
        <v>48</v>
      </c>
      <c r="H396" s="42" t="s">
        <v>13</v>
      </c>
      <c r="I396" s="42">
        <v>2</v>
      </c>
      <c r="J396" s="42" t="s">
        <v>25</v>
      </c>
      <c r="K396" s="43">
        <v>332.20500000000004</v>
      </c>
      <c r="L396" s="42">
        <v>2500</v>
      </c>
      <c r="M396" s="42" t="s">
        <v>186</v>
      </c>
      <c r="N396" s="44">
        <f t="shared" si="18"/>
        <v>0.13288200000000003</v>
      </c>
      <c r="O396" s="44">
        <f>+VLOOKUP(J396,TC!$B$6:$C$17,2,0)*PRECIOS!N396</f>
        <v>570.28041609405273</v>
      </c>
      <c r="P396" s="42" t="str">
        <f t="shared" si="19"/>
        <v>Si</v>
      </c>
      <c r="Q396" s="44">
        <f>+IF(I396=1,O396,IF(I396=2,O396/(1+MRI!$C$18),(O396/(1+MRI!$D$18))/(1+MRI!$C$18)))</f>
        <v>520.47606174561486</v>
      </c>
      <c r="R396" s="44">
        <f t="shared" si="20"/>
        <v>520.47606174561486</v>
      </c>
    </row>
    <row r="397" spans="1:18" x14ac:dyDescent="0.3">
      <c r="A397" s="55">
        <v>396</v>
      </c>
      <c r="B397" s="55" t="s">
        <v>38</v>
      </c>
      <c r="C397" s="55" t="s">
        <v>233</v>
      </c>
      <c r="D397" s="55" t="s">
        <v>182</v>
      </c>
      <c r="E397" s="55" t="s">
        <v>87</v>
      </c>
      <c r="F397" s="55" t="s">
        <v>23</v>
      </c>
      <c r="G397" s="55" t="s">
        <v>24</v>
      </c>
      <c r="H397" s="55" t="s">
        <v>13</v>
      </c>
      <c r="I397" s="55">
        <v>2</v>
      </c>
      <c r="J397" s="55" t="s">
        <v>25</v>
      </c>
      <c r="K397" s="56">
        <v>320.32</v>
      </c>
      <c r="L397" s="55">
        <v>2500</v>
      </c>
      <c r="M397" s="55" t="s">
        <v>186</v>
      </c>
      <c r="N397" s="57">
        <f t="shared" si="18"/>
        <v>0.12812799999999999</v>
      </c>
      <c r="O397" s="57">
        <f>+VLOOKUP(J397,TC!$B$6:$C$17,2,0)*PRECIOS!N397</f>
        <v>549.87800569903197</v>
      </c>
      <c r="P397" s="55" t="str">
        <f t="shared" si="19"/>
        <v>Si</v>
      </c>
      <c r="Q397" s="57">
        <f>+IF(I397=1,O397,IF(I397=2,O397/(1+MRI!$C$18),(O397/(1+MRI!$D$18))/(1+MRI!$C$18)))</f>
        <v>501.85545701706866</v>
      </c>
      <c r="R397" s="57">
        <f t="shared" si="20"/>
        <v>501.85545701706866</v>
      </c>
    </row>
    <row r="398" spans="1:18" x14ac:dyDescent="0.3">
      <c r="A398" s="42">
        <v>397</v>
      </c>
      <c r="B398" s="42" t="s">
        <v>38</v>
      </c>
      <c r="C398" s="42" t="s">
        <v>233</v>
      </c>
      <c r="D398" s="42" t="s">
        <v>182</v>
      </c>
      <c r="E398" s="42" t="s">
        <v>88</v>
      </c>
      <c r="F398" s="42" t="s">
        <v>23</v>
      </c>
      <c r="G398" s="42" t="s">
        <v>48</v>
      </c>
      <c r="H398" s="42" t="s">
        <v>13</v>
      </c>
      <c r="I398" s="42">
        <v>2</v>
      </c>
      <c r="J398" s="42" t="s">
        <v>25</v>
      </c>
      <c r="K398" s="43">
        <v>664.41000000000008</v>
      </c>
      <c r="L398" s="42">
        <v>5000</v>
      </c>
      <c r="M398" s="42" t="s">
        <v>186</v>
      </c>
      <c r="N398" s="44">
        <f t="shared" si="18"/>
        <v>0.13288200000000003</v>
      </c>
      <c r="O398" s="44">
        <f>+VLOOKUP(J398,TC!$B$6:$C$17,2,0)*PRECIOS!N398</f>
        <v>570.28041609405273</v>
      </c>
      <c r="P398" s="42" t="str">
        <f t="shared" si="19"/>
        <v>Si</v>
      </c>
      <c r="Q398" s="44">
        <f>+IF(I398=1,O398,IF(I398=2,O398/(1+MRI!$C$18),(O398/(1+MRI!$D$18))/(1+MRI!$C$18)))</f>
        <v>520.47606174561486</v>
      </c>
      <c r="R398" s="44">
        <f t="shared" si="20"/>
        <v>520.47606174561486</v>
      </c>
    </row>
    <row r="399" spans="1:18" x14ac:dyDescent="0.3">
      <c r="A399" s="55">
        <v>398</v>
      </c>
      <c r="B399" s="55" t="s">
        <v>38</v>
      </c>
      <c r="C399" s="55" t="s">
        <v>233</v>
      </c>
      <c r="D399" s="55" t="s">
        <v>182</v>
      </c>
      <c r="E399" s="55" t="s">
        <v>88</v>
      </c>
      <c r="F399" s="55" t="s">
        <v>23</v>
      </c>
      <c r="G399" s="55" t="s">
        <v>24</v>
      </c>
      <c r="H399" s="55" t="s">
        <v>13</v>
      </c>
      <c r="I399" s="55">
        <v>2</v>
      </c>
      <c r="J399" s="55" t="s">
        <v>25</v>
      </c>
      <c r="K399" s="56">
        <v>686.01</v>
      </c>
      <c r="L399" s="55">
        <v>5000</v>
      </c>
      <c r="M399" s="55" t="s">
        <v>186</v>
      </c>
      <c r="N399" s="57">
        <f t="shared" si="18"/>
        <v>0.13720199999999999</v>
      </c>
      <c r="O399" s="57">
        <f>+VLOOKUP(J399,TC!$B$6:$C$17,2,0)*PRECIOS!N399</f>
        <v>588.82025894354535</v>
      </c>
      <c r="P399" s="55" t="str">
        <f t="shared" si="19"/>
        <v>Si</v>
      </c>
      <c r="Q399" s="57">
        <f>+IF(I399=1,O399,IF(I399=2,O399/(1+MRI!$C$18),(O399/(1+MRI!$D$18))/(1+MRI!$C$18)))</f>
        <v>537.39676271896735</v>
      </c>
      <c r="R399" s="57">
        <f t="shared" si="20"/>
        <v>537.39676271896735</v>
      </c>
    </row>
    <row r="400" spans="1:18" x14ac:dyDescent="0.3">
      <c r="A400" s="42">
        <v>399</v>
      </c>
      <c r="B400" s="42" t="s">
        <v>38</v>
      </c>
      <c r="C400" s="42" t="s">
        <v>233</v>
      </c>
      <c r="D400" s="42" t="s">
        <v>182</v>
      </c>
      <c r="E400" s="42" t="s">
        <v>62</v>
      </c>
      <c r="F400" s="42" t="s">
        <v>23</v>
      </c>
      <c r="G400" s="42" t="s">
        <v>48</v>
      </c>
      <c r="H400" s="42" t="s">
        <v>13</v>
      </c>
      <c r="I400" s="42">
        <v>2</v>
      </c>
      <c r="J400" s="42" t="s">
        <v>25</v>
      </c>
      <c r="K400" s="43">
        <v>965.8</v>
      </c>
      <c r="L400" s="42">
        <v>10000</v>
      </c>
      <c r="M400" s="42" t="s">
        <v>186</v>
      </c>
      <c r="N400" s="44">
        <f t="shared" si="18"/>
        <v>9.6579999999999999E-2</v>
      </c>
      <c r="O400" s="44">
        <f>+VLOOKUP(J400,TC!$B$6:$C$17,2,0)*PRECIOS!N400</f>
        <v>414.48565333426347</v>
      </c>
      <c r="P400" s="42" t="str">
        <f t="shared" si="19"/>
        <v>Si</v>
      </c>
      <c r="Q400" s="44">
        <f>+IF(I400=1,O400,IF(I400=2,O400/(1+MRI!$C$18),(O400/(1+MRI!$D$18))/(1+MRI!$C$18)))</f>
        <v>378.28733796444567</v>
      </c>
      <c r="R400" s="44">
        <f t="shared" si="20"/>
        <v>378.28733796444567</v>
      </c>
    </row>
    <row r="401" spans="1:18" x14ac:dyDescent="0.3">
      <c r="A401" s="55">
        <v>400</v>
      </c>
      <c r="B401" s="55" t="s">
        <v>38</v>
      </c>
      <c r="C401" s="55" t="s">
        <v>233</v>
      </c>
      <c r="D401" s="55" t="s">
        <v>182</v>
      </c>
      <c r="E401" s="55" t="s">
        <v>62</v>
      </c>
      <c r="F401" s="55" t="s">
        <v>23</v>
      </c>
      <c r="G401" s="55" t="s">
        <v>24</v>
      </c>
      <c r="H401" s="55" t="s">
        <v>13</v>
      </c>
      <c r="I401" s="55">
        <v>2</v>
      </c>
      <c r="J401" s="55" t="s">
        <v>25</v>
      </c>
      <c r="K401" s="56">
        <v>1749.89</v>
      </c>
      <c r="L401" s="55">
        <v>10000</v>
      </c>
      <c r="M401" s="55" t="s">
        <v>186</v>
      </c>
      <c r="N401" s="57">
        <f t="shared" si="18"/>
        <v>0.17498900000000001</v>
      </c>
      <c r="O401" s="57">
        <f>+VLOOKUP(J401,TC!$B$6:$C$17,2,0)*PRECIOS!N401</f>
        <v>750.98809268284765</v>
      </c>
      <c r="P401" s="55" t="str">
        <f t="shared" si="19"/>
        <v>Si</v>
      </c>
      <c r="Q401" s="57">
        <f>+IF(I401=1,O401,IF(I401=2,O401/(1+MRI!$C$18),(O401/(1+MRI!$D$18))/(1+MRI!$C$18)))</f>
        <v>685.40197745972637</v>
      </c>
      <c r="R401" s="57">
        <f t="shared" si="20"/>
        <v>685.40197745972637</v>
      </c>
    </row>
    <row r="402" spans="1:18" x14ac:dyDescent="0.3">
      <c r="A402" s="42">
        <v>401</v>
      </c>
      <c r="B402" s="42" t="s">
        <v>38</v>
      </c>
      <c r="C402" s="42" t="s">
        <v>233</v>
      </c>
      <c r="D402" s="42" t="s">
        <v>182</v>
      </c>
      <c r="E402" s="42" t="s">
        <v>61</v>
      </c>
      <c r="F402" s="42" t="s">
        <v>23</v>
      </c>
      <c r="G402" s="42" t="s">
        <v>48</v>
      </c>
      <c r="H402" s="42" t="s">
        <v>13</v>
      </c>
      <c r="I402" s="42">
        <v>2</v>
      </c>
      <c r="J402" s="42" t="s">
        <v>25</v>
      </c>
      <c r="K402" s="43">
        <v>1931.6</v>
      </c>
      <c r="L402" s="42">
        <v>20000</v>
      </c>
      <c r="M402" s="42" t="s">
        <v>186</v>
      </c>
      <c r="N402" s="44">
        <f t="shared" si="18"/>
        <v>9.6579999999999999E-2</v>
      </c>
      <c r="O402" s="44">
        <f>+VLOOKUP(J402,TC!$B$6:$C$17,2,0)*PRECIOS!N402</f>
        <v>414.48565333426347</v>
      </c>
      <c r="P402" s="42" t="str">
        <f t="shared" si="19"/>
        <v>Si</v>
      </c>
      <c r="Q402" s="44">
        <f>+IF(I402=1,O402,IF(I402=2,O402/(1+MRI!$C$18),(O402/(1+MRI!$D$18))/(1+MRI!$C$18)))</f>
        <v>378.28733796444567</v>
      </c>
      <c r="R402" s="44">
        <f t="shared" si="20"/>
        <v>378.28733796444567</v>
      </c>
    </row>
    <row r="403" spans="1:18" x14ac:dyDescent="0.3">
      <c r="A403" s="55">
        <v>402</v>
      </c>
      <c r="B403" s="55" t="s">
        <v>38</v>
      </c>
      <c r="C403" s="55" t="s">
        <v>233</v>
      </c>
      <c r="D403" s="55" t="s">
        <v>182</v>
      </c>
      <c r="E403" s="55" t="s">
        <v>61</v>
      </c>
      <c r="F403" s="55" t="s">
        <v>23</v>
      </c>
      <c r="G403" s="55" t="s">
        <v>24</v>
      </c>
      <c r="H403" s="55" t="s">
        <v>13</v>
      </c>
      <c r="I403" s="55">
        <v>2</v>
      </c>
      <c r="J403" s="55" t="s">
        <v>25</v>
      </c>
      <c r="K403" s="56">
        <v>874.97</v>
      </c>
      <c r="L403" s="55">
        <v>20000</v>
      </c>
      <c r="M403" s="55" t="s">
        <v>186</v>
      </c>
      <c r="N403" s="57">
        <f t="shared" si="18"/>
        <v>4.3748500000000003E-2</v>
      </c>
      <c r="O403" s="57">
        <f>+VLOOKUP(J403,TC!$B$6:$C$17,2,0)*PRECIOS!N403</f>
        <v>187.75238770857348</v>
      </c>
      <c r="P403" s="55" t="str">
        <f t="shared" si="19"/>
        <v>Si</v>
      </c>
      <c r="Q403" s="57">
        <f>+IF(I403=1,O403,IF(I403=2,O403/(1+MRI!$C$18),(O403/(1+MRI!$D$18))/(1+MRI!$C$18)))</f>
        <v>171.3553904010929</v>
      </c>
      <c r="R403" s="57">
        <f t="shared" si="20"/>
        <v>171.3553904010929</v>
      </c>
    </row>
    <row r="404" spans="1:18" x14ac:dyDescent="0.3">
      <c r="A404" s="42">
        <v>403</v>
      </c>
      <c r="B404" s="42" t="s">
        <v>38</v>
      </c>
      <c r="C404" s="42" t="s">
        <v>233</v>
      </c>
      <c r="D404" s="42" t="s">
        <v>182</v>
      </c>
      <c r="E404" s="42" t="s">
        <v>57</v>
      </c>
      <c r="F404" s="42" t="s">
        <v>23</v>
      </c>
      <c r="G404" s="42" t="s">
        <v>48</v>
      </c>
      <c r="H404" s="42" t="s">
        <v>13</v>
      </c>
      <c r="I404" s="42">
        <v>2</v>
      </c>
      <c r="J404" s="42" t="s">
        <v>25</v>
      </c>
      <c r="K404" s="43">
        <v>482.9</v>
      </c>
      <c r="L404" s="42">
        <v>5000</v>
      </c>
      <c r="M404" s="42" t="s">
        <v>186</v>
      </c>
      <c r="N404" s="44">
        <f t="shared" si="18"/>
        <v>9.6579999999999999E-2</v>
      </c>
      <c r="O404" s="44">
        <f>+VLOOKUP(J404,TC!$B$6:$C$17,2,0)*PRECIOS!N404</f>
        <v>414.48565333426347</v>
      </c>
      <c r="P404" s="42" t="str">
        <f t="shared" si="19"/>
        <v>Si</v>
      </c>
      <c r="Q404" s="44">
        <f>+IF(I404=1,O404,IF(I404=2,O404/(1+MRI!$C$18),(O404/(1+MRI!$D$18))/(1+MRI!$C$18)))</f>
        <v>378.28733796444567</v>
      </c>
      <c r="R404" s="44">
        <f t="shared" si="20"/>
        <v>378.28733796444567</v>
      </c>
    </row>
    <row r="405" spans="1:18" x14ac:dyDescent="0.3">
      <c r="A405" s="55">
        <v>404</v>
      </c>
      <c r="B405" s="55" t="s">
        <v>38</v>
      </c>
      <c r="C405" s="55" t="s">
        <v>233</v>
      </c>
      <c r="D405" s="55" t="s">
        <v>182</v>
      </c>
      <c r="E405" s="55" t="s">
        <v>57</v>
      </c>
      <c r="F405" s="55" t="s">
        <v>23</v>
      </c>
      <c r="G405" s="55" t="s">
        <v>24</v>
      </c>
      <c r="H405" s="55" t="s">
        <v>13</v>
      </c>
      <c r="I405" s="55">
        <v>2</v>
      </c>
      <c r="J405" s="55" t="s">
        <v>25</v>
      </c>
      <c r="K405" s="56">
        <v>437.49</v>
      </c>
      <c r="L405" s="55">
        <v>5000</v>
      </c>
      <c r="M405" s="55" t="s">
        <v>186</v>
      </c>
      <c r="N405" s="57">
        <f t="shared" si="18"/>
        <v>8.7498000000000006E-2</v>
      </c>
      <c r="O405" s="57">
        <f>+VLOOKUP(J405,TC!$B$6:$C$17,2,0)*PRECIOS!N405</f>
        <v>375.50906704743619</v>
      </c>
      <c r="P405" s="55" t="str">
        <f t="shared" si="19"/>
        <v>Si</v>
      </c>
      <c r="Q405" s="57">
        <f>+IF(I405=1,O405,IF(I405=2,O405/(1+MRI!$C$18),(O405/(1+MRI!$D$18))/(1+MRI!$C$18)))</f>
        <v>342.7146976311148</v>
      </c>
      <c r="R405" s="57">
        <f t="shared" si="20"/>
        <v>342.7146976311148</v>
      </c>
    </row>
    <row r="406" spans="1:18" x14ac:dyDescent="0.3">
      <c r="A406" s="42">
        <v>405</v>
      </c>
      <c r="B406" s="42" t="s">
        <v>38</v>
      </c>
      <c r="C406" s="42" t="s">
        <v>220</v>
      </c>
      <c r="D406" s="42" t="s">
        <v>182</v>
      </c>
      <c r="E406" s="42" t="s">
        <v>50</v>
      </c>
      <c r="F406" s="42" t="s">
        <v>141</v>
      </c>
      <c r="G406" s="42" t="s">
        <v>176</v>
      </c>
      <c r="H406" s="42" t="s">
        <v>20</v>
      </c>
      <c r="I406" s="42">
        <v>3</v>
      </c>
      <c r="J406" s="42" t="s">
        <v>40</v>
      </c>
      <c r="K406" s="43">
        <v>476.64</v>
      </c>
      <c r="L406" s="42">
        <v>10000</v>
      </c>
      <c r="M406" s="42" t="s">
        <v>186</v>
      </c>
      <c r="N406" s="44">
        <f t="shared" si="18"/>
        <v>4.7663999999999998E-2</v>
      </c>
      <c r="O406" s="44">
        <f>+VLOOKUP(J406,TC!$B$6:$C$17,2,0)*PRECIOS!N406</f>
        <v>218.12957762869482</v>
      </c>
      <c r="P406" s="42" t="str">
        <f t="shared" si="19"/>
        <v>No</v>
      </c>
      <c r="Q406" s="44">
        <f>+IF(I406=1,O406,IF(I406=2,O406/(1+MRI!$C$18),(O406/(1+MRI!$D$18))/(1+MRI!$C$18)))</f>
        <v>166.75343986352092</v>
      </c>
      <c r="R406" s="44" t="str">
        <f t="shared" si="20"/>
        <v/>
      </c>
    </row>
    <row r="407" spans="1:18" x14ac:dyDescent="0.3">
      <c r="A407" s="55">
        <v>406</v>
      </c>
      <c r="B407" s="55" t="s">
        <v>38</v>
      </c>
      <c r="C407" s="55" t="s">
        <v>220</v>
      </c>
      <c r="D407" s="55" t="s">
        <v>182</v>
      </c>
      <c r="E407" s="55" t="s">
        <v>50</v>
      </c>
      <c r="F407" s="55" t="s">
        <v>141</v>
      </c>
      <c r="G407" s="55" t="s">
        <v>176</v>
      </c>
      <c r="H407" s="55" t="s">
        <v>11</v>
      </c>
      <c r="I407" s="55">
        <v>1</v>
      </c>
      <c r="J407" s="55" t="s">
        <v>40</v>
      </c>
      <c r="K407" s="56">
        <v>406.44</v>
      </c>
      <c r="L407" s="55">
        <v>10000</v>
      </c>
      <c r="M407" s="55" t="s">
        <v>186</v>
      </c>
      <c r="N407" s="57">
        <f t="shared" si="18"/>
        <v>4.0644E-2</v>
      </c>
      <c r="O407" s="57">
        <f>+VLOOKUP(J407,TC!$B$6:$C$17,2,0)*PRECIOS!N407</f>
        <v>186.00324255498222</v>
      </c>
      <c r="P407" s="55" t="str">
        <f t="shared" si="19"/>
        <v>Si</v>
      </c>
      <c r="Q407" s="57">
        <f>+IF(I407=1,O407,IF(I407=2,O407/(1+MRI!$C$18),(O407/(1+MRI!$D$18))/(1+MRI!$C$18)))</f>
        <v>186.00324255498222</v>
      </c>
      <c r="R407" s="57">
        <f t="shared" si="20"/>
        <v>186.00324255498222</v>
      </c>
    </row>
    <row r="408" spans="1:18" x14ac:dyDescent="0.3">
      <c r="A408" s="42">
        <v>407</v>
      </c>
      <c r="B408" s="42" t="s">
        <v>38</v>
      </c>
      <c r="C408" s="42" t="s">
        <v>220</v>
      </c>
      <c r="D408" s="42" t="s">
        <v>182</v>
      </c>
      <c r="E408" s="42" t="s">
        <v>50</v>
      </c>
      <c r="F408" s="42" t="s">
        <v>141</v>
      </c>
      <c r="G408" s="42" t="s">
        <v>176</v>
      </c>
      <c r="H408" s="42" t="s">
        <v>22</v>
      </c>
      <c r="I408" s="42">
        <v>2</v>
      </c>
      <c r="J408" s="42" t="s">
        <v>40</v>
      </c>
      <c r="K408" s="43">
        <v>412.55</v>
      </c>
      <c r="L408" s="42">
        <v>10000</v>
      </c>
      <c r="M408" s="42" t="s">
        <v>186</v>
      </c>
      <c r="N408" s="44">
        <f t="shared" si="18"/>
        <v>4.1255E-2</v>
      </c>
      <c r="O408" s="44">
        <f>+VLOOKUP(J408,TC!$B$6:$C$17,2,0)*PRECIOS!N408</f>
        <v>188.79942357065721</v>
      </c>
      <c r="P408" s="42" t="str">
        <f t="shared" si="19"/>
        <v>No</v>
      </c>
      <c r="Q408" s="44">
        <f>+IF(I408=1,O408,IF(I408=2,O408/(1+MRI!$C$18),(O408/(1+MRI!$D$18))/(1+MRI!$C$18)))</f>
        <v>172.310985379676</v>
      </c>
      <c r="R408" s="44" t="str">
        <f t="shared" si="20"/>
        <v/>
      </c>
    </row>
    <row r="409" spans="1:18" x14ac:dyDescent="0.3">
      <c r="A409" s="55">
        <v>408</v>
      </c>
      <c r="B409" s="55" t="s">
        <v>38</v>
      </c>
      <c r="C409" s="55" t="s">
        <v>220</v>
      </c>
      <c r="D409" s="55" t="s">
        <v>182</v>
      </c>
      <c r="E409" s="55" t="s">
        <v>47</v>
      </c>
      <c r="F409" s="55" t="s">
        <v>141</v>
      </c>
      <c r="G409" s="55" t="s">
        <v>176</v>
      </c>
      <c r="H409" s="55" t="s">
        <v>20</v>
      </c>
      <c r="I409" s="55">
        <v>3</v>
      </c>
      <c r="J409" s="55" t="s">
        <v>40</v>
      </c>
      <c r="K409" s="56">
        <v>927.94</v>
      </c>
      <c r="L409" s="55">
        <v>20000</v>
      </c>
      <c r="M409" s="55" t="s">
        <v>186</v>
      </c>
      <c r="N409" s="57">
        <f t="shared" si="18"/>
        <v>4.6397000000000001E-2</v>
      </c>
      <c r="O409" s="57">
        <f>+VLOOKUP(J409,TC!$B$6:$C$17,2,0)*PRECIOS!N409</f>
        <v>212.33127755200056</v>
      </c>
      <c r="P409" s="55" t="str">
        <f t="shared" si="19"/>
        <v>No</v>
      </c>
      <c r="Q409" s="57">
        <f>+IF(I409=1,O409,IF(I409=2,O409/(1+MRI!$C$18),(O409/(1+MRI!$D$18))/(1+MRI!$C$18)))</f>
        <v>162.32081548648418</v>
      </c>
      <c r="R409" s="57" t="str">
        <f t="shared" si="20"/>
        <v/>
      </c>
    </row>
    <row r="410" spans="1:18" x14ac:dyDescent="0.3">
      <c r="A410" s="42">
        <v>409</v>
      </c>
      <c r="B410" s="42" t="s">
        <v>38</v>
      </c>
      <c r="C410" s="42" t="s">
        <v>220</v>
      </c>
      <c r="D410" s="42" t="s">
        <v>182</v>
      </c>
      <c r="E410" s="42" t="s">
        <v>47</v>
      </c>
      <c r="F410" s="42" t="s">
        <v>141</v>
      </c>
      <c r="G410" s="42" t="s">
        <v>176</v>
      </c>
      <c r="H410" s="42" t="s">
        <v>11</v>
      </c>
      <c r="I410" s="42">
        <v>1</v>
      </c>
      <c r="J410" s="42" t="s">
        <v>40</v>
      </c>
      <c r="K410" s="43">
        <v>813.66</v>
      </c>
      <c r="L410" s="42">
        <v>20000</v>
      </c>
      <c r="M410" s="42" t="s">
        <v>186</v>
      </c>
      <c r="N410" s="44">
        <f t="shared" si="18"/>
        <v>4.0682999999999997E-2</v>
      </c>
      <c r="O410" s="44">
        <f>+VLOOKUP(J410,TC!$B$6:$C$17,2,0)*PRECIOS!N410</f>
        <v>186.18172219428061</v>
      </c>
      <c r="P410" s="42" t="str">
        <f t="shared" si="19"/>
        <v>Si</v>
      </c>
      <c r="Q410" s="44">
        <f>+IF(I410=1,O410,IF(I410=2,O410/(1+MRI!$C$18),(O410/(1+MRI!$D$18))/(1+MRI!$C$18)))</f>
        <v>186.18172219428061</v>
      </c>
      <c r="R410" s="44">
        <f t="shared" si="20"/>
        <v>186.18172219428061</v>
      </c>
    </row>
    <row r="411" spans="1:18" x14ac:dyDescent="0.3">
      <c r="A411" s="55">
        <v>410</v>
      </c>
      <c r="B411" s="55" t="s">
        <v>38</v>
      </c>
      <c r="C411" s="55" t="s">
        <v>220</v>
      </c>
      <c r="D411" s="55" t="s">
        <v>182</v>
      </c>
      <c r="E411" s="55" t="s">
        <v>47</v>
      </c>
      <c r="F411" s="55" t="s">
        <v>141</v>
      </c>
      <c r="G411" s="55" t="s">
        <v>176</v>
      </c>
      <c r="H411" s="55" t="s">
        <v>22</v>
      </c>
      <c r="I411" s="55">
        <v>2</v>
      </c>
      <c r="J411" s="55" t="s">
        <v>40</v>
      </c>
      <c r="K411" s="56">
        <v>825.88</v>
      </c>
      <c r="L411" s="55">
        <v>20000</v>
      </c>
      <c r="M411" s="55" t="s">
        <v>186</v>
      </c>
      <c r="N411" s="57">
        <f t="shared" si="18"/>
        <v>4.1293999999999997E-2</v>
      </c>
      <c r="O411" s="57">
        <f>+VLOOKUP(J411,TC!$B$6:$C$17,2,0)*PRECIOS!N411</f>
        <v>188.9779032099556</v>
      </c>
      <c r="P411" s="55" t="str">
        <f t="shared" si="19"/>
        <v>No</v>
      </c>
      <c r="Q411" s="57">
        <f>+IF(I411=1,O411,IF(I411=2,O411/(1+MRI!$C$18),(O411/(1+MRI!$D$18))/(1+MRI!$C$18)))</f>
        <v>172.47387783949438</v>
      </c>
      <c r="R411" s="57" t="str">
        <f t="shared" si="20"/>
        <v/>
      </c>
    </row>
    <row r="412" spans="1:18" x14ac:dyDescent="0.3">
      <c r="A412" s="42">
        <v>411</v>
      </c>
      <c r="B412" s="42" t="s">
        <v>38</v>
      </c>
      <c r="C412" s="42" t="s">
        <v>220</v>
      </c>
      <c r="D412" s="42" t="s">
        <v>182</v>
      </c>
      <c r="E412" s="42" t="s">
        <v>68</v>
      </c>
      <c r="F412" s="42" t="s">
        <v>141</v>
      </c>
      <c r="G412" s="42" t="s">
        <v>176</v>
      </c>
      <c r="H412" s="42" t="s">
        <v>20</v>
      </c>
      <c r="I412" s="42">
        <v>3</v>
      </c>
      <c r="J412" s="42" t="s">
        <v>40</v>
      </c>
      <c r="K412" s="43">
        <v>353.6</v>
      </c>
      <c r="L412" s="42">
        <v>5000</v>
      </c>
      <c r="M412" s="42" t="s">
        <v>186</v>
      </c>
      <c r="N412" s="44">
        <f t="shared" si="18"/>
        <v>7.0720000000000005E-2</v>
      </c>
      <c r="O412" s="44">
        <f>+VLOOKUP(J412,TC!$B$6:$C$17,2,0)*PRECIOS!N412</f>
        <v>323.64307926110479</v>
      </c>
      <c r="P412" s="42" t="str">
        <f t="shared" si="19"/>
        <v>No</v>
      </c>
      <c r="Q412" s="44">
        <f>+IF(I412=1,O412,IF(I412=2,O412/(1+MRI!$C$18),(O412/(1+MRI!$D$18))/(1+MRI!$C$18)))</f>
        <v>247.41530855883272</v>
      </c>
      <c r="R412" s="44" t="str">
        <f t="shared" si="20"/>
        <v/>
      </c>
    </row>
    <row r="413" spans="1:18" x14ac:dyDescent="0.3">
      <c r="A413" s="55">
        <v>412</v>
      </c>
      <c r="B413" s="55" t="s">
        <v>38</v>
      </c>
      <c r="C413" s="55" t="s">
        <v>220</v>
      </c>
      <c r="D413" s="55" t="s">
        <v>182</v>
      </c>
      <c r="E413" s="55" t="s">
        <v>68</v>
      </c>
      <c r="F413" s="55" t="s">
        <v>141</v>
      </c>
      <c r="G413" s="55" t="s">
        <v>176</v>
      </c>
      <c r="H413" s="55" t="s">
        <v>11</v>
      </c>
      <c r="I413" s="55">
        <v>1</v>
      </c>
      <c r="J413" s="55" t="s">
        <v>40</v>
      </c>
      <c r="K413" s="56">
        <v>298.77999999999997</v>
      </c>
      <c r="L413" s="55">
        <v>5000</v>
      </c>
      <c r="M413" s="55" t="s">
        <v>186</v>
      </c>
      <c r="N413" s="57">
        <f t="shared" si="18"/>
        <v>5.9755999999999997E-2</v>
      </c>
      <c r="O413" s="57">
        <f>+VLOOKUP(J413,TC!$B$6:$C$17,2,0)*PRECIOS!N413</f>
        <v>273.46741861321516</v>
      </c>
      <c r="P413" s="55" t="str">
        <f t="shared" si="19"/>
        <v>Si</v>
      </c>
      <c r="Q413" s="57">
        <f>+IF(I413=1,O413,IF(I413=2,O413/(1+MRI!$C$18),(O413/(1+MRI!$D$18))/(1+MRI!$C$18)))</f>
        <v>273.46741861321516</v>
      </c>
      <c r="R413" s="57">
        <f t="shared" si="20"/>
        <v>273.46741861321516</v>
      </c>
    </row>
    <row r="414" spans="1:18" x14ac:dyDescent="0.3">
      <c r="A414" s="42">
        <v>413</v>
      </c>
      <c r="B414" s="42" t="s">
        <v>38</v>
      </c>
      <c r="C414" s="42" t="s">
        <v>220</v>
      </c>
      <c r="D414" s="42" t="s">
        <v>182</v>
      </c>
      <c r="E414" s="42" t="s">
        <v>68</v>
      </c>
      <c r="F414" s="42" t="s">
        <v>141</v>
      </c>
      <c r="G414" s="42" t="s">
        <v>176</v>
      </c>
      <c r="H414" s="42" t="s">
        <v>22</v>
      </c>
      <c r="I414" s="42">
        <v>2</v>
      </c>
      <c r="J414" s="42" t="s">
        <v>40</v>
      </c>
      <c r="K414" s="43">
        <v>303.27</v>
      </c>
      <c r="L414" s="42">
        <v>5000</v>
      </c>
      <c r="M414" s="42" t="s">
        <v>186</v>
      </c>
      <c r="N414" s="44">
        <f t="shared" si="18"/>
        <v>6.0654E-2</v>
      </c>
      <c r="O414" s="44">
        <f>+VLOOKUP(J414,TC!$B$6:$C$17,2,0)*PRECIOS!N414</f>
        <v>277.57702671808613</v>
      </c>
      <c r="P414" s="42" t="str">
        <f t="shared" si="19"/>
        <v>No</v>
      </c>
      <c r="Q414" s="44">
        <f>+IF(I414=1,O414,IF(I414=2,O414/(1+MRI!$C$18),(O414/(1+MRI!$D$18))/(1+MRI!$C$18)))</f>
        <v>253.335365585235</v>
      </c>
      <c r="R414" s="44" t="str">
        <f t="shared" si="20"/>
        <v/>
      </c>
    </row>
    <row r="415" spans="1:18" x14ac:dyDescent="0.3">
      <c r="A415" s="55">
        <v>414</v>
      </c>
      <c r="B415" s="55" t="s">
        <v>38</v>
      </c>
      <c r="C415" s="55" t="s">
        <v>220</v>
      </c>
      <c r="D415" s="55" t="s">
        <v>182</v>
      </c>
      <c r="E415" s="55" t="s">
        <v>66</v>
      </c>
      <c r="F415" s="55" t="s">
        <v>141</v>
      </c>
      <c r="G415" s="55" t="s">
        <v>176</v>
      </c>
      <c r="H415" s="55" t="s">
        <v>20</v>
      </c>
      <c r="I415" s="55">
        <v>3</v>
      </c>
      <c r="J415" s="55" t="s">
        <v>40</v>
      </c>
      <c r="K415" s="56">
        <v>351.2</v>
      </c>
      <c r="L415" s="55">
        <v>2500</v>
      </c>
      <c r="M415" s="55" t="s">
        <v>186</v>
      </c>
      <c r="N415" s="57">
        <f t="shared" si="18"/>
        <v>0.14047999999999999</v>
      </c>
      <c r="O415" s="57">
        <f>+VLOOKUP(J415,TC!$B$6:$C$17,2,0)*PRECIOS!N415</f>
        <v>642.89281355486423</v>
      </c>
      <c r="P415" s="55" t="str">
        <f t="shared" si="19"/>
        <v>No</v>
      </c>
      <c r="Q415" s="57">
        <f>+IF(I415=1,O415,IF(I415=2,O415/(1+MRI!$C$18),(O415/(1+MRI!$D$18))/(1+MRI!$C$18)))</f>
        <v>491.47203826845043</v>
      </c>
      <c r="R415" s="57" t="str">
        <f t="shared" si="20"/>
        <v/>
      </c>
    </row>
    <row r="416" spans="1:18" x14ac:dyDescent="0.3">
      <c r="A416" s="42">
        <v>415</v>
      </c>
      <c r="B416" s="42" t="s">
        <v>38</v>
      </c>
      <c r="C416" s="42" t="s">
        <v>220</v>
      </c>
      <c r="D416" s="42" t="s">
        <v>182</v>
      </c>
      <c r="E416" s="42" t="s">
        <v>66</v>
      </c>
      <c r="F416" s="42" t="s">
        <v>141</v>
      </c>
      <c r="G416" s="42" t="s">
        <v>176</v>
      </c>
      <c r="H416" s="42" t="s">
        <v>11</v>
      </c>
      <c r="I416" s="42">
        <v>1</v>
      </c>
      <c r="J416" s="42" t="s">
        <v>40</v>
      </c>
      <c r="K416" s="43">
        <v>296.75</v>
      </c>
      <c r="L416" s="42">
        <v>2500</v>
      </c>
      <c r="M416" s="42" t="s">
        <v>186</v>
      </c>
      <c r="N416" s="44">
        <f t="shared" si="18"/>
        <v>0.1187</v>
      </c>
      <c r="O416" s="44">
        <f>+VLOOKUP(J416,TC!$B$6:$C$17,2,0)*PRECIOS!N416</f>
        <v>543.21879960821741</v>
      </c>
      <c r="P416" s="42" t="str">
        <f t="shared" si="19"/>
        <v>Si</v>
      </c>
      <c r="Q416" s="44">
        <f>+IF(I416=1,O416,IF(I416=2,O416/(1+MRI!$C$18),(O416/(1+MRI!$D$18))/(1+MRI!$C$18)))</f>
        <v>543.21879960821741</v>
      </c>
      <c r="R416" s="44">
        <f t="shared" si="20"/>
        <v>543.21879960821741</v>
      </c>
    </row>
    <row r="417" spans="1:18" x14ac:dyDescent="0.3">
      <c r="A417" s="55">
        <v>416</v>
      </c>
      <c r="B417" s="55" t="s">
        <v>38</v>
      </c>
      <c r="C417" s="55" t="s">
        <v>220</v>
      </c>
      <c r="D417" s="55" t="s">
        <v>182</v>
      </c>
      <c r="E417" s="55" t="s">
        <v>66</v>
      </c>
      <c r="F417" s="55" t="s">
        <v>141</v>
      </c>
      <c r="G417" s="55" t="s">
        <v>176</v>
      </c>
      <c r="H417" s="55" t="s">
        <v>22</v>
      </c>
      <c r="I417" s="55">
        <v>2</v>
      </c>
      <c r="J417" s="55" t="s">
        <v>40</v>
      </c>
      <c r="K417" s="56">
        <v>301.20999999999998</v>
      </c>
      <c r="L417" s="55">
        <v>2500</v>
      </c>
      <c r="M417" s="55" t="s">
        <v>186</v>
      </c>
      <c r="N417" s="57">
        <f t="shared" si="18"/>
        <v>0.12048399999999999</v>
      </c>
      <c r="O417" s="57">
        <f>+VLOOKUP(J417,TC!$B$6:$C$17,2,0)*PRECIOS!N417</f>
        <v>551.38309900586751</v>
      </c>
      <c r="P417" s="55" t="str">
        <f t="shared" si="19"/>
        <v>No</v>
      </c>
      <c r="Q417" s="57">
        <f>+IF(I417=1,O417,IF(I417=2,O417/(1+MRI!$C$18),(O417/(1+MRI!$D$18))/(1+MRI!$C$18)))</f>
        <v>503.22910586558925</v>
      </c>
      <c r="R417" s="57" t="str">
        <f t="shared" si="20"/>
        <v/>
      </c>
    </row>
    <row r="418" spans="1:18" x14ac:dyDescent="0.3">
      <c r="A418" s="42">
        <v>417</v>
      </c>
      <c r="B418" s="42" t="s">
        <v>38</v>
      </c>
      <c r="C418" s="42" t="s">
        <v>220</v>
      </c>
      <c r="D418" s="42" t="s">
        <v>182</v>
      </c>
      <c r="E418" s="42" t="s">
        <v>67</v>
      </c>
      <c r="F418" s="42" t="s">
        <v>141</v>
      </c>
      <c r="G418" s="42" t="s">
        <v>176</v>
      </c>
      <c r="H418" s="42" t="s">
        <v>20</v>
      </c>
      <c r="I418" s="42">
        <v>3</v>
      </c>
      <c r="J418" s="42" t="s">
        <v>40</v>
      </c>
      <c r="K418" s="43">
        <v>683.24</v>
      </c>
      <c r="L418" s="42">
        <v>5000</v>
      </c>
      <c r="M418" s="42" t="s">
        <v>186</v>
      </c>
      <c r="N418" s="44">
        <f t="shared" si="18"/>
        <v>0.13664799999999999</v>
      </c>
      <c r="O418" s="44">
        <f>+VLOOKUP(J418,TC!$B$6:$C$17,2,0)*PRECIOS!N418</f>
        <v>625.35604489354421</v>
      </c>
      <c r="P418" s="42" t="str">
        <f t="shared" si="19"/>
        <v>No</v>
      </c>
      <c r="Q418" s="44">
        <f>+IF(I418=1,O418,IF(I418=2,O418/(1+MRI!$C$18),(O418/(1+MRI!$D$18))/(1+MRI!$C$18)))</f>
        <v>478.06571102866758</v>
      </c>
      <c r="R418" s="44" t="str">
        <f t="shared" si="20"/>
        <v/>
      </c>
    </row>
    <row r="419" spans="1:18" x14ac:dyDescent="0.3">
      <c r="A419" s="55">
        <v>418</v>
      </c>
      <c r="B419" s="55" t="s">
        <v>38</v>
      </c>
      <c r="C419" s="55" t="s">
        <v>220</v>
      </c>
      <c r="D419" s="55" t="s">
        <v>182</v>
      </c>
      <c r="E419" s="55" t="s">
        <v>67</v>
      </c>
      <c r="F419" s="55" t="s">
        <v>141</v>
      </c>
      <c r="G419" s="55" t="s">
        <v>176</v>
      </c>
      <c r="H419" s="55" t="s">
        <v>11</v>
      </c>
      <c r="I419" s="55">
        <v>1</v>
      </c>
      <c r="J419" s="55" t="s">
        <v>40</v>
      </c>
      <c r="K419" s="56">
        <v>593.5</v>
      </c>
      <c r="L419" s="55">
        <v>5000</v>
      </c>
      <c r="M419" s="55" t="s">
        <v>186</v>
      </c>
      <c r="N419" s="57">
        <f t="shared" si="18"/>
        <v>0.1187</v>
      </c>
      <c r="O419" s="57">
        <f>+VLOOKUP(J419,TC!$B$6:$C$17,2,0)*PRECIOS!N419</f>
        <v>543.21879960821741</v>
      </c>
      <c r="P419" s="55" t="str">
        <f t="shared" si="19"/>
        <v>Si</v>
      </c>
      <c r="Q419" s="57">
        <f>+IF(I419=1,O419,IF(I419=2,O419/(1+MRI!$C$18),(O419/(1+MRI!$D$18))/(1+MRI!$C$18)))</f>
        <v>543.21879960821741</v>
      </c>
      <c r="R419" s="57">
        <f t="shared" si="20"/>
        <v>543.21879960821741</v>
      </c>
    </row>
    <row r="420" spans="1:18" x14ac:dyDescent="0.3">
      <c r="A420" s="42">
        <v>419</v>
      </c>
      <c r="B420" s="42" t="s">
        <v>38</v>
      </c>
      <c r="C420" s="42" t="s">
        <v>220</v>
      </c>
      <c r="D420" s="42" t="s">
        <v>182</v>
      </c>
      <c r="E420" s="42" t="s">
        <v>67</v>
      </c>
      <c r="F420" s="42" t="s">
        <v>141</v>
      </c>
      <c r="G420" s="42" t="s">
        <v>176</v>
      </c>
      <c r="H420" s="42" t="s">
        <v>22</v>
      </c>
      <c r="I420" s="42">
        <v>2</v>
      </c>
      <c r="J420" s="42" t="s">
        <v>40</v>
      </c>
      <c r="K420" s="43">
        <v>602.41999999999996</v>
      </c>
      <c r="L420" s="42">
        <v>5000</v>
      </c>
      <c r="M420" s="42" t="s">
        <v>186</v>
      </c>
      <c r="N420" s="44">
        <f t="shared" si="18"/>
        <v>0.12048399999999999</v>
      </c>
      <c r="O420" s="44">
        <f>+VLOOKUP(J420,TC!$B$6:$C$17,2,0)*PRECIOS!N420</f>
        <v>551.38309900586751</v>
      </c>
      <c r="P420" s="42" t="str">
        <f t="shared" si="19"/>
        <v>No</v>
      </c>
      <c r="Q420" s="44">
        <f>+IF(I420=1,O420,IF(I420=2,O420/(1+MRI!$C$18),(O420/(1+MRI!$D$18))/(1+MRI!$C$18)))</f>
        <v>503.22910586558925</v>
      </c>
      <c r="R420" s="44" t="str">
        <f t="shared" si="20"/>
        <v/>
      </c>
    </row>
    <row r="421" spans="1:18" x14ac:dyDescent="0.3">
      <c r="A421" s="55">
        <v>420</v>
      </c>
      <c r="B421" s="55" t="s">
        <v>38</v>
      </c>
      <c r="C421" s="55" t="s">
        <v>220</v>
      </c>
      <c r="D421" s="55" t="s">
        <v>182</v>
      </c>
      <c r="E421" s="55" t="s">
        <v>80</v>
      </c>
      <c r="F421" s="55" t="s">
        <v>141</v>
      </c>
      <c r="G421" s="55" t="s">
        <v>176</v>
      </c>
      <c r="H421" s="55" t="s">
        <v>20</v>
      </c>
      <c r="I421" s="55">
        <v>3</v>
      </c>
      <c r="J421" s="55" t="s">
        <v>40</v>
      </c>
      <c r="K421" s="56">
        <v>578.1</v>
      </c>
      <c r="L421" s="55">
        <v>10000</v>
      </c>
      <c r="M421" s="55" t="s">
        <v>186</v>
      </c>
      <c r="N421" s="57">
        <f t="shared" si="18"/>
        <v>5.781E-2</v>
      </c>
      <c r="O421" s="57">
        <f>+VLOOKUP(J421,TC!$B$6:$C$17,2,0)*PRECIOS!N421</f>
        <v>264.56174225232564</v>
      </c>
      <c r="P421" s="55" t="str">
        <f t="shared" si="19"/>
        <v>No</v>
      </c>
      <c r="Q421" s="57">
        <f>+IF(I421=1,O421,IF(I421=2,O421/(1+MRI!$C$18),(O421/(1+MRI!$D$18))/(1+MRI!$C$18)))</f>
        <v>202.24942007616121</v>
      </c>
      <c r="R421" s="57" t="str">
        <f t="shared" si="20"/>
        <v/>
      </c>
    </row>
    <row r="422" spans="1:18" x14ac:dyDescent="0.3">
      <c r="A422" s="42">
        <v>421</v>
      </c>
      <c r="B422" s="42" t="s">
        <v>38</v>
      </c>
      <c r="C422" s="42" t="s">
        <v>220</v>
      </c>
      <c r="D422" s="42" t="s">
        <v>182</v>
      </c>
      <c r="E422" s="42" t="s">
        <v>80</v>
      </c>
      <c r="F422" s="42" t="s">
        <v>141</v>
      </c>
      <c r="G422" s="42" t="s">
        <v>176</v>
      </c>
      <c r="H422" s="42" t="s">
        <v>11</v>
      </c>
      <c r="I422" s="42">
        <v>1</v>
      </c>
      <c r="J422" s="42" t="s">
        <v>40</v>
      </c>
      <c r="K422" s="43">
        <v>497.52</v>
      </c>
      <c r="L422" s="42">
        <v>10000</v>
      </c>
      <c r="M422" s="42" t="s">
        <v>186</v>
      </c>
      <c r="N422" s="44">
        <f t="shared" si="18"/>
        <v>4.9751999999999998E-2</v>
      </c>
      <c r="O422" s="44">
        <f>+VLOOKUP(J422,TC!$B$6:$C$17,2,0)*PRECIOS!N422</f>
        <v>227.68510293267087</v>
      </c>
      <c r="P422" s="42" t="str">
        <f t="shared" si="19"/>
        <v>Si</v>
      </c>
      <c r="Q422" s="44">
        <f>+IF(I422=1,O422,IF(I422=2,O422/(1+MRI!$C$18),(O422/(1+MRI!$D$18))/(1+MRI!$C$18)))</f>
        <v>227.68510293267087</v>
      </c>
      <c r="R422" s="44">
        <f t="shared" si="20"/>
        <v>227.68510293267087</v>
      </c>
    </row>
    <row r="423" spans="1:18" x14ac:dyDescent="0.3">
      <c r="A423" s="55">
        <v>422</v>
      </c>
      <c r="B423" s="55" t="s">
        <v>38</v>
      </c>
      <c r="C423" s="55" t="s">
        <v>220</v>
      </c>
      <c r="D423" s="55" t="s">
        <v>182</v>
      </c>
      <c r="E423" s="55" t="s">
        <v>80</v>
      </c>
      <c r="F423" s="55" t="s">
        <v>141</v>
      </c>
      <c r="G423" s="55" t="s">
        <v>176</v>
      </c>
      <c r="H423" s="55" t="s">
        <v>22</v>
      </c>
      <c r="I423" s="55">
        <v>2</v>
      </c>
      <c r="J423" s="55" t="s">
        <v>40</v>
      </c>
      <c r="K423" s="56">
        <v>504.99</v>
      </c>
      <c r="L423" s="55">
        <v>10000</v>
      </c>
      <c r="M423" s="55" t="s">
        <v>186</v>
      </c>
      <c r="N423" s="57">
        <f t="shared" si="18"/>
        <v>5.0499000000000002E-2</v>
      </c>
      <c r="O423" s="57">
        <f>+VLOOKUP(J423,TC!$B$6:$C$17,2,0)*PRECIOS!N423</f>
        <v>231.10367448538648</v>
      </c>
      <c r="P423" s="55" t="str">
        <f t="shared" si="19"/>
        <v>No</v>
      </c>
      <c r="Q423" s="57">
        <f>+IF(I423=1,O423,IF(I423=2,O423/(1+MRI!$C$18),(O423/(1+MRI!$D$18))/(1+MRI!$C$18)))</f>
        <v>210.92067508637157</v>
      </c>
      <c r="R423" s="57" t="str">
        <f t="shared" si="20"/>
        <v/>
      </c>
    </row>
    <row r="424" spans="1:18" x14ac:dyDescent="0.3">
      <c r="A424" s="42">
        <v>423</v>
      </c>
      <c r="B424" s="42" t="s">
        <v>38</v>
      </c>
      <c r="C424" s="42" t="s">
        <v>220</v>
      </c>
      <c r="D424" s="42" t="s">
        <v>182</v>
      </c>
      <c r="E424" s="42" t="s">
        <v>81</v>
      </c>
      <c r="F424" s="42" t="s">
        <v>141</v>
      </c>
      <c r="G424" s="42" t="s">
        <v>176</v>
      </c>
      <c r="H424" s="42" t="s">
        <v>20</v>
      </c>
      <c r="I424" s="42">
        <v>3</v>
      </c>
      <c r="J424" s="42" t="s">
        <v>40</v>
      </c>
      <c r="K424" s="43">
        <v>1124.08</v>
      </c>
      <c r="L424" s="42">
        <v>20000</v>
      </c>
      <c r="M424" s="42" t="s">
        <v>186</v>
      </c>
      <c r="N424" s="44">
        <f t="shared" si="18"/>
        <v>5.6203999999999997E-2</v>
      </c>
      <c r="O424" s="44">
        <f>+VLOOKUP(J424,TC!$B$6:$C$17,2,0)*PRECIOS!N424</f>
        <v>257.21204223403748</v>
      </c>
      <c r="P424" s="42" t="str">
        <f t="shared" si="19"/>
        <v>No</v>
      </c>
      <c r="Q424" s="44">
        <f>+IF(I424=1,O424,IF(I424=2,O424/(1+MRI!$C$18),(O424/(1+MRI!$D$18))/(1+MRI!$C$18)))</f>
        <v>196.63079754299534</v>
      </c>
      <c r="R424" s="44" t="str">
        <f t="shared" si="20"/>
        <v/>
      </c>
    </row>
    <row r="425" spans="1:18" x14ac:dyDescent="0.3">
      <c r="A425" s="55">
        <v>424</v>
      </c>
      <c r="B425" s="55" t="s">
        <v>38</v>
      </c>
      <c r="C425" s="55" t="s">
        <v>220</v>
      </c>
      <c r="D425" s="55" t="s">
        <v>182</v>
      </c>
      <c r="E425" s="55" t="s">
        <v>81</v>
      </c>
      <c r="F425" s="55" t="s">
        <v>141</v>
      </c>
      <c r="G425" s="55" t="s">
        <v>176</v>
      </c>
      <c r="H425" s="55" t="s">
        <v>11</v>
      </c>
      <c r="I425" s="55">
        <v>1</v>
      </c>
      <c r="J425" s="55" t="s">
        <v>40</v>
      </c>
      <c r="K425" s="56">
        <v>995.03</v>
      </c>
      <c r="L425" s="55">
        <v>20000</v>
      </c>
      <c r="M425" s="55" t="s">
        <v>186</v>
      </c>
      <c r="N425" s="57">
        <f t="shared" si="18"/>
        <v>4.9751499999999997E-2</v>
      </c>
      <c r="O425" s="57">
        <f>+VLOOKUP(J425,TC!$B$6:$C$17,2,0)*PRECIOS!N425</f>
        <v>227.68281473216706</v>
      </c>
      <c r="P425" s="55" t="str">
        <f t="shared" si="19"/>
        <v>Si</v>
      </c>
      <c r="Q425" s="57">
        <f>+IF(I425=1,O425,IF(I425=2,O425/(1+MRI!$C$18),(O425/(1+MRI!$D$18))/(1+MRI!$C$18)))</f>
        <v>227.68281473216706</v>
      </c>
      <c r="R425" s="57">
        <f t="shared" si="20"/>
        <v>227.68281473216706</v>
      </c>
    </row>
    <row r="426" spans="1:18" x14ac:dyDescent="0.3">
      <c r="A426" s="42">
        <v>425</v>
      </c>
      <c r="B426" s="42" t="s">
        <v>38</v>
      </c>
      <c r="C426" s="42" t="s">
        <v>220</v>
      </c>
      <c r="D426" s="42" t="s">
        <v>182</v>
      </c>
      <c r="E426" s="42" t="s">
        <v>81</v>
      </c>
      <c r="F426" s="42" t="s">
        <v>141</v>
      </c>
      <c r="G426" s="42" t="s">
        <v>176</v>
      </c>
      <c r="H426" s="42" t="s">
        <v>22</v>
      </c>
      <c r="I426" s="42">
        <v>2</v>
      </c>
      <c r="J426" s="42" t="s">
        <v>40</v>
      </c>
      <c r="K426" s="43">
        <v>1009.98</v>
      </c>
      <c r="L426" s="42">
        <v>20000</v>
      </c>
      <c r="M426" s="42" t="s">
        <v>186</v>
      </c>
      <c r="N426" s="44">
        <f t="shared" si="18"/>
        <v>5.0499000000000002E-2</v>
      </c>
      <c r="O426" s="44">
        <f>+VLOOKUP(J426,TC!$B$6:$C$17,2,0)*PRECIOS!N426</f>
        <v>231.10367448538648</v>
      </c>
      <c r="P426" s="42" t="str">
        <f t="shared" si="19"/>
        <v>No</v>
      </c>
      <c r="Q426" s="44">
        <f>+IF(I426=1,O426,IF(I426=2,O426/(1+MRI!$C$18),(O426/(1+MRI!$D$18))/(1+MRI!$C$18)))</f>
        <v>210.92067508637157</v>
      </c>
      <c r="R426" s="44" t="str">
        <f t="shared" si="20"/>
        <v/>
      </c>
    </row>
    <row r="427" spans="1:18" x14ac:dyDescent="0.3">
      <c r="A427" s="55">
        <v>426</v>
      </c>
      <c r="B427" s="55" t="s">
        <v>38</v>
      </c>
      <c r="C427" s="55" t="s">
        <v>220</v>
      </c>
      <c r="D427" s="55" t="s">
        <v>182</v>
      </c>
      <c r="E427" s="55" t="s">
        <v>84</v>
      </c>
      <c r="F427" s="55" t="s">
        <v>141</v>
      </c>
      <c r="G427" s="55" t="s">
        <v>176</v>
      </c>
      <c r="H427" s="55" t="s">
        <v>20</v>
      </c>
      <c r="I427" s="55">
        <v>3</v>
      </c>
      <c r="J427" s="55" t="s">
        <v>40</v>
      </c>
      <c r="K427" s="56">
        <v>299.77999999999997</v>
      </c>
      <c r="L427" s="55">
        <v>5000</v>
      </c>
      <c r="M427" s="55" t="s">
        <v>186</v>
      </c>
      <c r="N427" s="57">
        <f t="shared" si="18"/>
        <v>5.9955999999999995E-2</v>
      </c>
      <c r="O427" s="57">
        <f>+VLOOKUP(J427,TC!$B$6:$C$17,2,0)*PRECIOS!N427</f>
        <v>274.38269881474542</v>
      </c>
      <c r="P427" s="55" t="str">
        <f t="shared" si="19"/>
        <v>No</v>
      </c>
      <c r="Q427" s="57">
        <f>+IF(I427=1,O427,IF(I427=2,O427/(1+MRI!$C$18),(O427/(1+MRI!$D$18))/(1+MRI!$C$18)))</f>
        <v>209.75724321201034</v>
      </c>
      <c r="R427" s="57" t="str">
        <f t="shared" si="20"/>
        <v/>
      </c>
    </row>
    <row r="428" spans="1:18" x14ac:dyDescent="0.3">
      <c r="A428" s="42">
        <v>427</v>
      </c>
      <c r="B428" s="42" t="s">
        <v>38</v>
      </c>
      <c r="C428" s="42" t="s">
        <v>220</v>
      </c>
      <c r="D428" s="42" t="s">
        <v>182</v>
      </c>
      <c r="E428" s="42" t="s">
        <v>84</v>
      </c>
      <c r="F428" s="42" t="s">
        <v>141</v>
      </c>
      <c r="G428" s="42" t="s">
        <v>176</v>
      </c>
      <c r="H428" s="42" t="s">
        <v>11</v>
      </c>
      <c r="I428" s="42">
        <v>1</v>
      </c>
      <c r="J428" s="42" t="s">
        <v>40</v>
      </c>
      <c r="K428" s="43">
        <v>248.78</v>
      </c>
      <c r="L428" s="42">
        <v>5000</v>
      </c>
      <c r="M428" s="42" t="s">
        <v>186</v>
      </c>
      <c r="N428" s="44">
        <f t="shared" si="18"/>
        <v>4.9756000000000002E-2</v>
      </c>
      <c r="O428" s="44">
        <f>+VLOOKUP(J428,TC!$B$6:$C$17,2,0)*PRECIOS!N428</f>
        <v>227.70340853670152</v>
      </c>
      <c r="P428" s="42" t="str">
        <f t="shared" si="19"/>
        <v>Si</v>
      </c>
      <c r="Q428" s="44">
        <f>+IF(I428=1,O428,IF(I428=2,O428/(1+MRI!$C$18),(O428/(1+MRI!$D$18))/(1+MRI!$C$18)))</f>
        <v>227.70340853670152</v>
      </c>
      <c r="R428" s="44">
        <f t="shared" si="20"/>
        <v>227.70340853670152</v>
      </c>
    </row>
    <row r="429" spans="1:18" x14ac:dyDescent="0.3">
      <c r="A429" s="55">
        <v>428</v>
      </c>
      <c r="B429" s="55" t="s">
        <v>38</v>
      </c>
      <c r="C429" s="55" t="s">
        <v>220</v>
      </c>
      <c r="D429" s="55" t="s">
        <v>182</v>
      </c>
      <c r="E429" s="55" t="s">
        <v>84</v>
      </c>
      <c r="F429" s="55" t="s">
        <v>141</v>
      </c>
      <c r="G429" s="55" t="s">
        <v>176</v>
      </c>
      <c r="H429" s="55" t="s">
        <v>22</v>
      </c>
      <c r="I429" s="55">
        <v>2</v>
      </c>
      <c r="J429" s="55" t="s">
        <v>40</v>
      </c>
      <c r="K429" s="56">
        <v>252.52</v>
      </c>
      <c r="L429" s="55">
        <v>5000</v>
      </c>
      <c r="M429" s="55" t="s">
        <v>186</v>
      </c>
      <c r="N429" s="57">
        <f t="shared" si="18"/>
        <v>5.0504E-2</v>
      </c>
      <c r="O429" s="57">
        <f>+VLOOKUP(J429,TC!$B$6:$C$17,2,0)*PRECIOS!N429</f>
        <v>231.12655649042472</v>
      </c>
      <c r="P429" s="55" t="str">
        <f t="shared" si="19"/>
        <v>No</v>
      </c>
      <c r="Q429" s="57">
        <f>+IF(I429=1,O429,IF(I429=2,O429/(1+MRI!$C$18),(O429/(1+MRI!$D$18))/(1+MRI!$C$18)))</f>
        <v>210.94155873506622</v>
      </c>
      <c r="R429" s="57" t="str">
        <f t="shared" si="20"/>
        <v/>
      </c>
    </row>
    <row r="430" spans="1:18" x14ac:dyDescent="0.3">
      <c r="A430" s="42">
        <v>429</v>
      </c>
      <c r="B430" s="42" t="s">
        <v>38</v>
      </c>
      <c r="C430" s="42" t="s">
        <v>220</v>
      </c>
      <c r="D430" s="42" t="s">
        <v>182</v>
      </c>
      <c r="E430" s="42" t="s">
        <v>62</v>
      </c>
      <c r="F430" s="42" t="s">
        <v>141</v>
      </c>
      <c r="G430" s="42" t="s">
        <v>176</v>
      </c>
      <c r="H430" s="42" t="s">
        <v>20</v>
      </c>
      <c r="I430" s="42">
        <v>3</v>
      </c>
      <c r="J430" s="42" t="s">
        <v>40</v>
      </c>
      <c r="K430" s="43">
        <v>555.65</v>
      </c>
      <c r="L430" s="42">
        <v>10000</v>
      </c>
      <c r="M430" s="42" t="s">
        <v>186</v>
      </c>
      <c r="N430" s="44">
        <f t="shared" si="18"/>
        <v>5.5564999999999996E-2</v>
      </c>
      <c r="O430" s="44">
        <f>+VLOOKUP(J430,TC!$B$6:$C$17,2,0)*PRECIOS!N430</f>
        <v>254.28772199014827</v>
      </c>
      <c r="P430" s="42" t="str">
        <f t="shared" si="19"/>
        <v>No</v>
      </c>
      <c r="Q430" s="44">
        <f>+IF(I430=1,O430,IF(I430=2,O430/(1+MRI!$C$18),(O430/(1+MRI!$D$18))/(1+MRI!$C$18)))</f>
        <v>194.3952434964867</v>
      </c>
      <c r="R430" s="44" t="str">
        <f t="shared" si="20"/>
        <v/>
      </c>
    </row>
    <row r="431" spans="1:18" x14ac:dyDescent="0.3">
      <c r="A431" s="55">
        <v>430</v>
      </c>
      <c r="B431" s="55" t="s">
        <v>38</v>
      </c>
      <c r="C431" s="55" t="s">
        <v>220</v>
      </c>
      <c r="D431" s="55" t="s">
        <v>182</v>
      </c>
      <c r="E431" s="55" t="s">
        <v>62</v>
      </c>
      <c r="F431" s="55" t="s">
        <v>141</v>
      </c>
      <c r="G431" s="55" t="s">
        <v>176</v>
      </c>
      <c r="H431" s="55" t="s">
        <v>11</v>
      </c>
      <c r="I431" s="55">
        <v>1</v>
      </c>
      <c r="J431" s="55" t="s">
        <v>40</v>
      </c>
      <c r="K431" s="56">
        <v>473.81</v>
      </c>
      <c r="L431" s="55">
        <v>10000</v>
      </c>
      <c r="M431" s="55" t="s">
        <v>186</v>
      </c>
      <c r="N431" s="57">
        <f t="shared" si="18"/>
        <v>4.7381E-2</v>
      </c>
      <c r="O431" s="57">
        <f>+VLOOKUP(J431,TC!$B$6:$C$17,2,0)*PRECIOS!N431</f>
        <v>216.83445614352951</v>
      </c>
      <c r="P431" s="55" t="str">
        <f t="shared" si="19"/>
        <v>Si</v>
      </c>
      <c r="Q431" s="57">
        <f>+IF(I431=1,O431,IF(I431=2,O431/(1+MRI!$C$18),(O431/(1+MRI!$D$18))/(1+MRI!$C$18)))</f>
        <v>216.83445614352951</v>
      </c>
      <c r="R431" s="57">
        <f t="shared" si="20"/>
        <v>216.83445614352951</v>
      </c>
    </row>
    <row r="432" spans="1:18" x14ac:dyDescent="0.3">
      <c r="A432" s="42">
        <v>431</v>
      </c>
      <c r="B432" s="42" t="s">
        <v>38</v>
      </c>
      <c r="C432" s="42" t="s">
        <v>220</v>
      </c>
      <c r="D432" s="42" t="s">
        <v>182</v>
      </c>
      <c r="E432" s="42" t="s">
        <v>62</v>
      </c>
      <c r="F432" s="42" t="s">
        <v>141</v>
      </c>
      <c r="G432" s="42" t="s">
        <v>176</v>
      </c>
      <c r="H432" s="42" t="s">
        <v>22</v>
      </c>
      <c r="I432" s="42">
        <v>2</v>
      </c>
      <c r="J432" s="42" t="s">
        <v>40</v>
      </c>
      <c r="K432" s="43">
        <v>480.93</v>
      </c>
      <c r="L432" s="42">
        <v>10000</v>
      </c>
      <c r="M432" s="42" t="s">
        <v>186</v>
      </c>
      <c r="N432" s="44">
        <f t="shared" si="18"/>
        <v>4.8093000000000004E-2</v>
      </c>
      <c r="O432" s="44">
        <f>+VLOOKUP(J432,TC!$B$6:$C$17,2,0)*PRECIOS!N432</f>
        <v>220.09285366097728</v>
      </c>
      <c r="P432" s="42" t="str">
        <f t="shared" si="19"/>
        <v>No</v>
      </c>
      <c r="Q432" s="44">
        <f>+IF(I432=1,O432,IF(I432=2,O432/(1+MRI!$C$18),(O432/(1+MRI!$D$18))/(1+MRI!$C$18)))</f>
        <v>200.87146333449905</v>
      </c>
      <c r="R432" s="44" t="str">
        <f t="shared" si="20"/>
        <v/>
      </c>
    </row>
    <row r="433" spans="1:18" x14ac:dyDescent="0.3">
      <c r="A433" s="55">
        <v>432</v>
      </c>
      <c r="B433" s="55" t="s">
        <v>38</v>
      </c>
      <c r="C433" s="55" t="s">
        <v>220</v>
      </c>
      <c r="D433" s="55" t="s">
        <v>182</v>
      </c>
      <c r="E433" s="55" t="s">
        <v>61</v>
      </c>
      <c r="F433" s="55" t="s">
        <v>141</v>
      </c>
      <c r="G433" s="55" t="s">
        <v>176</v>
      </c>
      <c r="H433" s="55" t="s">
        <v>20</v>
      </c>
      <c r="I433" s="55">
        <v>3</v>
      </c>
      <c r="J433" s="55" t="s">
        <v>40</v>
      </c>
      <c r="K433" s="56">
        <v>1083.92</v>
      </c>
      <c r="L433" s="55">
        <v>20000</v>
      </c>
      <c r="M433" s="55" t="s">
        <v>186</v>
      </c>
      <c r="N433" s="57">
        <f t="shared" si="18"/>
        <v>5.4196000000000001E-2</v>
      </c>
      <c r="O433" s="57">
        <f>+VLOOKUP(J433,TC!$B$6:$C$17,2,0)*PRECIOS!N433</f>
        <v>248.02262901067357</v>
      </c>
      <c r="P433" s="55" t="str">
        <f t="shared" si="19"/>
        <v>No</v>
      </c>
      <c r="Q433" s="57">
        <f>+IF(I433=1,O433,IF(I433=2,O433/(1+MRI!$C$18),(O433/(1+MRI!$D$18))/(1+MRI!$C$18)))</f>
        <v>189.60577011672081</v>
      </c>
      <c r="R433" s="57" t="str">
        <f t="shared" si="20"/>
        <v/>
      </c>
    </row>
    <row r="434" spans="1:18" x14ac:dyDescent="0.3">
      <c r="A434" s="42">
        <v>433</v>
      </c>
      <c r="B434" s="42" t="s">
        <v>38</v>
      </c>
      <c r="C434" s="42" t="s">
        <v>220</v>
      </c>
      <c r="D434" s="42" t="s">
        <v>182</v>
      </c>
      <c r="E434" s="42" t="s">
        <v>61</v>
      </c>
      <c r="F434" s="42" t="s">
        <v>141</v>
      </c>
      <c r="G434" s="42" t="s">
        <v>176</v>
      </c>
      <c r="H434" s="42" t="s">
        <v>11</v>
      </c>
      <c r="I434" s="42">
        <v>1</v>
      </c>
      <c r="J434" s="42" t="s">
        <v>40</v>
      </c>
      <c r="K434" s="43">
        <v>954.93</v>
      </c>
      <c r="L434" s="42">
        <v>20000</v>
      </c>
      <c r="M434" s="42" t="s">
        <v>186</v>
      </c>
      <c r="N434" s="44">
        <f t="shared" si="18"/>
        <v>4.7746499999999997E-2</v>
      </c>
      <c r="O434" s="44">
        <f>+VLOOKUP(J434,TC!$B$6:$C$17,2,0)*PRECIOS!N434</f>
        <v>218.50713071182605</v>
      </c>
      <c r="P434" s="42" t="str">
        <f t="shared" si="19"/>
        <v>Si</v>
      </c>
      <c r="Q434" s="44">
        <f>+IF(I434=1,O434,IF(I434=2,O434/(1+MRI!$C$18),(O434/(1+MRI!$D$18))/(1+MRI!$C$18)))</f>
        <v>218.50713071182605</v>
      </c>
      <c r="R434" s="44">
        <f t="shared" si="20"/>
        <v>218.50713071182605</v>
      </c>
    </row>
    <row r="435" spans="1:18" x14ac:dyDescent="0.3">
      <c r="A435" s="55">
        <v>434</v>
      </c>
      <c r="B435" s="55" t="s">
        <v>38</v>
      </c>
      <c r="C435" s="55" t="s">
        <v>220</v>
      </c>
      <c r="D435" s="55" t="s">
        <v>182</v>
      </c>
      <c r="E435" s="55" t="s">
        <v>61</v>
      </c>
      <c r="F435" s="55" t="s">
        <v>141</v>
      </c>
      <c r="G435" s="55" t="s">
        <v>176</v>
      </c>
      <c r="H435" s="55" t="s">
        <v>22</v>
      </c>
      <c r="I435" s="55">
        <v>2</v>
      </c>
      <c r="J435" s="55" t="s">
        <v>40</v>
      </c>
      <c r="K435" s="56">
        <v>969.28</v>
      </c>
      <c r="L435" s="55">
        <v>20000</v>
      </c>
      <c r="M435" s="55" t="s">
        <v>186</v>
      </c>
      <c r="N435" s="57">
        <f t="shared" si="18"/>
        <v>4.8464E-2</v>
      </c>
      <c r="O435" s="57">
        <f>+VLOOKUP(J435,TC!$B$6:$C$17,2,0)*PRECIOS!N435</f>
        <v>221.79069843481594</v>
      </c>
      <c r="P435" s="55" t="str">
        <f t="shared" si="19"/>
        <v>No</v>
      </c>
      <c r="Q435" s="57">
        <f>+IF(I435=1,O435,IF(I435=2,O435/(1+MRI!$C$18),(O435/(1+MRI!$D$18))/(1+MRI!$C$18)))</f>
        <v>202.42103006764316</v>
      </c>
      <c r="R435" s="57" t="str">
        <f t="shared" si="20"/>
        <v/>
      </c>
    </row>
    <row r="436" spans="1:18" x14ac:dyDescent="0.3">
      <c r="A436" s="42">
        <v>435</v>
      </c>
      <c r="B436" s="42" t="s">
        <v>38</v>
      </c>
      <c r="C436" s="42" t="s">
        <v>220</v>
      </c>
      <c r="D436" s="42" t="s">
        <v>182</v>
      </c>
      <c r="E436" s="42" t="s">
        <v>57</v>
      </c>
      <c r="F436" s="42" t="s">
        <v>141</v>
      </c>
      <c r="G436" s="42" t="s">
        <v>176</v>
      </c>
      <c r="H436" s="42" t="s">
        <v>20</v>
      </c>
      <c r="I436" s="42">
        <v>3</v>
      </c>
      <c r="J436" s="42" t="s">
        <v>40</v>
      </c>
      <c r="K436" s="43">
        <v>287.68</v>
      </c>
      <c r="L436" s="42">
        <v>5000</v>
      </c>
      <c r="M436" s="42" t="s">
        <v>186</v>
      </c>
      <c r="N436" s="44">
        <f t="shared" si="18"/>
        <v>5.7536000000000004E-2</v>
      </c>
      <c r="O436" s="44">
        <f>+VLOOKUP(J436,TC!$B$6:$C$17,2,0)*PRECIOS!N436</f>
        <v>263.30780837622916</v>
      </c>
      <c r="P436" s="42" t="str">
        <f t="shared" si="19"/>
        <v>No</v>
      </c>
      <c r="Q436" s="44">
        <f>+IF(I436=1,O436,IF(I436=2,O436/(1+MRI!$C$18),(O436/(1+MRI!$D$18))/(1+MRI!$C$18)))</f>
        <v>201.2908256962811</v>
      </c>
      <c r="R436" s="44" t="str">
        <f t="shared" si="20"/>
        <v/>
      </c>
    </row>
    <row r="437" spans="1:18" x14ac:dyDescent="0.3">
      <c r="A437" s="55">
        <v>436</v>
      </c>
      <c r="B437" s="55" t="s">
        <v>38</v>
      </c>
      <c r="C437" s="55" t="s">
        <v>220</v>
      </c>
      <c r="D437" s="55" t="s">
        <v>182</v>
      </c>
      <c r="E437" s="55" t="s">
        <v>57</v>
      </c>
      <c r="F437" s="55" t="s">
        <v>141</v>
      </c>
      <c r="G437" s="55" t="s">
        <v>176</v>
      </c>
      <c r="H437" s="55" t="s">
        <v>11</v>
      </c>
      <c r="I437" s="55">
        <v>1</v>
      </c>
      <c r="J437" s="55" t="s">
        <v>40</v>
      </c>
      <c r="K437" s="56">
        <v>238.74</v>
      </c>
      <c r="L437" s="55">
        <v>5000</v>
      </c>
      <c r="M437" s="55" t="s">
        <v>186</v>
      </c>
      <c r="N437" s="57">
        <f t="shared" si="18"/>
        <v>4.7747999999999999E-2</v>
      </c>
      <c r="O437" s="57">
        <f>+VLOOKUP(J437,TC!$B$6:$C$17,2,0)*PRECIOS!N437</f>
        <v>218.51399531333755</v>
      </c>
      <c r="P437" s="55" t="str">
        <f t="shared" si="19"/>
        <v>Si</v>
      </c>
      <c r="Q437" s="57">
        <f>+IF(I437=1,O437,IF(I437=2,O437/(1+MRI!$C$18),(O437/(1+MRI!$D$18))/(1+MRI!$C$18)))</f>
        <v>218.51399531333755</v>
      </c>
      <c r="R437" s="57">
        <f t="shared" si="20"/>
        <v>218.51399531333755</v>
      </c>
    </row>
    <row r="438" spans="1:18" x14ac:dyDescent="0.3">
      <c r="A438" s="42">
        <v>437</v>
      </c>
      <c r="B438" s="42" t="s">
        <v>38</v>
      </c>
      <c r="C438" s="42" t="s">
        <v>220</v>
      </c>
      <c r="D438" s="42" t="s">
        <v>182</v>
      </c>
      <c r="E438" s="42" t="s">
        <v>57</v>
      </c>
      <c r="F438" s="42" t="s">
        <v>141</v>
      </c>
      <c r="G438" s="42" t="s">
        <v>176</v>
      </c>
      <c r="H438" s="42" t="s">
        <v>22</v>
      </c>
      <c r="I438" s="42">
        <v>2</v>
      </c>
      <c r="J438" s="42" t="s">
        <v>40</v>
      </c>
      <c r="K438" s="43">
        <v>242.33</v>
      </c>
      <c r="L438" s="42">
        <v>5000</v>
      </c>
      <c r="M438" s="42" t="s">
        <v>186</v>
      </c>
      <c r="N438" s="44">
        <f t="shared" si="18"/>
        <v>4.8466000000000002E-2</v>
      </c>
      <c r="O438" s="44">
        <f>+VLOOKUP(J438,TC!$B$6:$C$17,2,0)*PRECIOS!N438</f>
        <v>221.79985123683124</v>
      </c>
      <c r="P438" s="42" t="str">
        <f t="shared" si="19"/>
        <v>No</v>
      </c>
      <c r="Q438" s="44">
        <f>+IF(I438=1,O438,IF(I438=2,O438/(1+MRI!$C$18),(O438/(1+MRI!$D$18))/(1+MRI!$C$18)))</f>
        <v>202.42938352712102</v>
      </c>
      <c r="R438" s="44" t="str">
        <f t="shared" si="20"/>
        <v/>
      </c>
    </row>
    <row r="439" spans="1:18" x14ac:dyDescent="0.3">
      <c r="A439" s="55">
        <v>438</v>
      </c>
      <c r="B439" s="55" t="s">
        <v>38</v>
      </c>
      <c r="C439" s="55" t="s">
        <v>222</v>
      </c>
      <c r="D439" s="55" t="s">
        <v>182</v>
      </c>
      <c r="E439" s="55" t="s">
        <v>50</v>
      </c>
      <c r="F439" s="55" t="s">
        <v>106</v>
      </c>
      <c r="G439" s="55" t="s">
        <v>207</v>
      </c>
      <c r="H439" s="55" t="s">
        <v>20</v>
      </c>
      <c r="I439" s="55">
        <v>3</v>
      </c>
      <c r="J439" s="55" t="s">
        <v>40</v>
      </c>
      <c r="K439" s="56">
        <v>907.72</v>
      </c>
      <c r="L439" s="55">
        <v>10000</v>
      </c>
      <c r="M439" s="55" t="s">
        <v>186</v>
      </c>
      <c r="N439" s="57">
        <f t="shared" si="18"/>
        <v>9.0772000000000005E-2</v>
      </c>
      <c r="O439" s="57">
        <f>+VLOOKUP(J439,TC!$B$6:$C$17,2,0)*PRECIOS!N439</f>
        <v>415.40907226653007</v>
      </c>
      <c r="P439" s="55" t="str">
        <f t="shared" si="19"/>
        <v>No</v>
      </c>
      <c r="Q439" s="57">
        <f>+IF(I439=1,O439,IF(I439=2,O439/(1+MRI!$C$18),(O439/(1+MRI!$D$18))/(1+MRI!$C$18)))</f>
        <v>317.56762427180945</v>
      </c>
      <c r="R439" s="57" t="str">
        <f t="shared" si="20"/>
        <v/>
      </c>
    </row>
    <row r="440" spans="1:18" x14ac:dyDescent="0.3">
      <c r="A440" s="42">
        <v>439</v>
      </c>
      <c r="B440" s="42" t="s">
        <v>38</v>
      </c>
      <c r="C440" s="42" t="s">
        <v>222</v>
      </c>
      <c r="D440" s="42" t="s">
        <v>182</v>
      </c>
      <c r="E440" s="42" t="s">
        <v>50</v>
      </c>
      <c r="F440" s="42" t="s">
        <v>106</v>
      </c>
      <c r="G440" s="42" t="s">
        <v>207</v>
      </c>
      <c r="H440" s="42" t="s">
        <v>11</v>
      </c>
      <c r="I440" s="42">
        <v>1</v>
      </c>
      <c r="J440" s="42" t="s">
        <v>40</v>
      </c>
      <c r="K440" s="43">
        <v>550</v>
      </c>
      <c r="L440" s="42">
        <v>10000</v>
      </c>
      <c r="M440" s="42" t="s">
        <v>186</v>
      </c>
      <c r="N440" s="44">
        <f t="shared" si="18"/>
        <v>5.5E-2</v>
      </c>
      <c r="O440" s="44">
        <f>+VLOOKUP(J440,TC!$B$6:$C$17,2,0)*PRECIOS!N440</f>
        <v>251.70205542082527</v>
      </c>
      <c r="P440" s="42" t="str">
        <f t="shared" si="19"/>
        <v>Si</v>
      </c>
      <c r="Q440" s="44">
        <f>+IF(I440=1,O440,IF(I440=2,O440/(1+MRI!$C$18),(O440/(1+MRI!$D$18))/(1+MRI!$C$18)))</f>
        <v>251.70205542082527</v>
      </c>
      <c r="R440" s="44">
        <f t="shared" si="20"/>
        <v>251.70205542082527</v>
      </c>
    </row>
    <row r="441" spans="1:18" x14ac:dyDescent="0.3">
      <c r="A441" s="55">
        <v>440</v>
      </c>
      <c r="B441" s="55" t="s">
        <v>38</v>
      </c>
      <c r="C441" s="55" t="s">
        <v>222</v>
      </c>
      <c r="D441" s="55" t="s">
        <v>182</v>
      </c>
      <c r="E441" s="55" t="s">
        <v>46</v>
      </c>
      <c r="F441" s="55" t="s">
        <v>106</v>
      </c>
      <c r="G441" s="55" t="s">
        <v>207</v>
      </c>
      <c r="H441" s="55" t="s">
        <v>20</v>
      </c>
      <c r="I441" s="55">
        <v>3</v>
      </c>
      <c r="J441" s="55" t="s">
        <v>40</v>
      </c>
      <c r="K441" s="56">
        <v>907.72</v>
      </c>
      <c r="L441" s="55">
        <v>10000</v>
      </c>
      <c r="M441" s="55" t="s">
        <v>186</v>
      </c>
      <c r="N441" s="57">
        <f t="shared" si="18"/>
        <v>9.0772000000000005E-2</v>
      </c>
      <c r="O441" s="57">
        <f>+VLOOKUP(J441,TC!$B$6:$C$17,2,0)*PRECIOS!N441</f>
        <v>415.40907226653007</v>
      </c>
      <c r="P441" s="55" t="str">
        <f t="shared" si="19"/>
        <v>No</v>
      </c>
      <c r="Q441" s="57">
        <f>+IF(I441=1,O441,IF(I441=2,O441/(1+MRI!$C$18),(O441/(1+MRI!$D$18))/(1+MRI!$C$18)))</f>
        <v>317.56762427180945</v>
      </c>
      <c r="R441" s="57" t="str">
        <f t="shared" si="20"/>
        <v/>
      </c>
    </row>
    <row r="442" spans="1:18" x14ac:dyDescent="0.3">
      <c r="A442" s="42">
        <v>441</v>
      </c>
      <c r="B442" s="42" t="s">
        <v>38</v>
      </c>
      <c r="C442" s="42" t="s">
        <v>222</v>
      </c>
      <c r="D442" s="42" t="s">
        <v>182</v>
      </c>
      <c r="E442" s="42" t="s">
        <v>46</v>
      </c>
      <c r="F442" s="42" t="s">
        <v>106</v>
      </c>
      <c r="G442" s="42" t="s">
        <v>207</v>
      </c>
      <c r="H442" s="42" t="s">
        <v>11</v>
      </c>
      <c r="I442" s="42">
        <v>1</v>
      </c>
      <c r="J442" s="42" t="s">
        <v>40</v>
      </c>
      <c r="K442" s="43">
        <v>550</v>
      </c>
      <c r="L442" s="42">
        <v>10000</v>
      </c>
      <c r="M442" s="42" t="s">
        <v>186</v>
      </c>
      <c r="N442" s="44">
        <f t="shared" si="18"/>
        <v>5.5E-2</v>
      </c>
      <c r="O442" s="44">
        <f>+VLOOKUP(J442,TC!$B$6:$C$17,2,0)*PRECIOS!N442</f>
        <v>251.70205542082527</v>
      </c>
      <c r="P442" s="42" t="str">
        <f t="shared" si="19"/>
        <v>Si</v>
      </c>
      <c r="Q442" s="44">
        <f>+IF(I442=1,O442,IF(I442=2,O442/(1+MRI!$C$18),(O442/(1+MRI!$D$18))/(1+MRI!$C$18)))</f>
        <v>251.70205542082527</v>
      </c>
      <c r="R442" s="44">
        <f t="shared" si="20"/>
        <v>251.70205542082527</v>
      </c>
    </row>
    <row r="443" spans="1:18" x14ac:dyDescent="0.3">
      <c r="A443" s="55">
        <v>442</v>
      </c>
      <c r="B443" s="55" t="s">
        <v>38</v>
      </c>
      <c r="C443" s="55" t="s">
        <v>222</v>
      </c>
      <c r="D443" s="55" t="s">
        <v>182</v>
      </c>
      <c r="E443" s="55" t="s">
        <v>47</v>
      </c>
      <c r="F443" s="55" t="s">
        <v>106</v>
      </c>
      <c r="G443" s="55" t="s">
        <v>207</v>
      </c>
      <c r="H443" s="55" t="s">
        <v>20</v>
      </c>
      <c r="I443" s="55">
        <v>3</v>
      </c>
      <c r="J443" s="55" t="s">
        <v>40</v>
      </c>
      <c r="K443" s="56">
        <v>1815.44</v>
      </c>
      <c r="L443" s="55">
        <v>20000</v>
      </c>
      <c r="M443" s="55" t="s">
        <v>186</v>
      </c>
      <c r="N443" s="57">
        <f t="shared" si="18"/>
        <v>9.0772000000000005E-2</v>
      </c>
      <c r="O443" s="57">
        <f>+VLOOKUP(J443,TC!$B$6:$C$17,2,0)*PRECIOS!N443</f>
        <v>415.40907226653007</v>
      </c>
      <c r="P443" s="55" t="str">
        <f t="shared" si="19"/>
        <v>No</v>
      </c>
      <c r="Q443" s="57">
        <f>+IF(I443=1,O443,IF(I443=2,O443/(1+MRI!$C$18),(O443/(1+MRI!$D$18))/(1+MRI!$C$18)))</f>
        <v>317.56762427180945</v>
      </c>
      <c r="R443" s="57" t="str">
        <f t="shared" si="20"/>
        <v/>
      </c>
    </row>
    <row r="444" spans="1:18" x14ac:dyDescent="0.3">
      <c r="A444" s="42">
        <v>443</v>
      </c>
      <c r="B444" s="42" t="s">
        <v>38</v>
      </c>
      <c r="C444" s="42" t="s">
        <v>222</v>
      </c>
      <c r="D444" s="42" t="s">
        <v>182</v>
      </c>
      <c r="E444" s="42" t="s">
        <v>47</v>
      </c>
      <c r="F444" s="42" t="s">
        <v>106</v>
      </c>
      <c r="G444" s="42" t="s">
        <v>207</v>
      </c>
      <c r="H444" s="42" t="s">
        <v>11</v>
      </c>
      <c r="I444" s="42">
        <v>1</v>
      </c>
      <c r="J444" s="42" t="s">
        <v>40</v>
      </c>
      <c r="K444" s="43">
        <v>1100</v>
      </c>
      <c r="L444" s="42">
        <v>20000</v>
      </c>
      <c r="M444" s="42" t="s">
        <v>186</v>
      </c>
      <c r="N444" s="44">
        <f t="shared" si="18"/>
        <v>5.5E-2</v>
      </c>
      <c r="O444" s="44">
        <f>+VLOOKUP(J444,TC!$B$6:$C$17,2,0)*PRECIOS!N444</f>
        <v>251.70205542082527</v>
      </c>
      <c r="P444" s="42" t="str">
        <f t="shared" si="19"/>
        <v>Si</v>
      </c>
      <c r="Q444" s="44">
        <f>+IF(I444=1,O444,IF(I444=2,O444/(1+MRI!$C$18),(O444/(1+MRI!$D$18))/(1+MRI!$C$18)))</f>
        <v>251.70205542082527</v>
      </c>
      <c r="R444" s="44">
        <f t="shared" si="20"/>
        <v>251.70205542082527</v>
      </c>
    </row>
    <row r="445" spans="1:18" x14ac:dyDescent="0.3">
      <c r="A445" s="55">
        <v>444</v>
      </c>
      <c r="B445" s="55" t="s">
        <v>38</v>
      </c>
      <c r="C445" s="55" t="s">
        <v>222</v>
      </c>
      <c r="D445" s="55" t="s">
        <v>182</v>
      </c>
      <c r="E445" s="55" t="s">
        <v>44</v>
      </c>
      <c r="F445" s="55" t="s">
        <v>106</v>
      </c>
      <c r="G445" s="55" t="s">
        <v>207</v>
      </c>
      <c r="H445" s="55" t="s">
        <v>20</v>
      </c>
      <c r="I445" s="55">
        <v>3</v>
      </c>
      <c r="J445" s="55" t="s">
        <v>40</v>
      </c>
      <c r="K445" s="56">
        <v>1815.44</v>
      </c>
      <c r="L445" s="55">
        <v>20000</v>
      </c>
      <c r="M445" s="55" t="s">
        <v>186</v>
      </c>
      <c r="N445" s="57">
        <f t="shared" si="18"/>
        <v>9.0772000000000005E-2</v>
      </c>
      <c r="O445" s="57">
        <f>+VLOOKUP(J445,TC!$B$6:$C$17,2,0)*PRECIOS!N445</f>
        <v>415.40907226653007</v>
      </c>
      <c r="P445" s="55" t="str">
        <f t="shared" si="19"/>
        <v>No</v>
      </c>
      <c r="Q445" s="57">
        <f>+IF(I445=1,O445,IF(I445=2,O445/(1+MRI!$C$18),(O445/(1+MRI!$D$18))/(1+MRI!$C$18)))</f>
        <v>317.56762427180945</v>
      </c>
      <c r="R445" s="57" t="str">
        <f t="shared" si="20"/>
        <v/>
      </c>
    </row>
    <row r="446" spans="1:18" x14ac:dyDescent="0.3">
      <c r="A446" s="42">
        <v>445</v>
      </c>
      <c r="B446" s="42" t="s">
        <v>38</v>
      </c>
      <c r="C446" s="42" t="s">
        <v>222</v>
      </c>
      <c r="D446" s="42" t="s">
        <v>182</v>
      </c>
      <c r="E446" s="42" t="s">
        <v>44</v>
      </c>
      <c r="F446" s="42" t="s">
        <v>106</v>
      </c>
      <c r="G446" s="42" t="s">
        <v>207</v>
      </c>
      <c r="H446" s="42" t="s">
        <v>11</v>
      </c>
      <c r="I446" s="42">
        <v>1</v>
      </c>
      <c r="J446" s="42" t="s">
        <v>40</v>
      </c>
      <c r="K446" s="43">
        <v>1100</v>
      </c>
      <c r="L446" s="42">
        <v>20000</v>
      </c>
      <c r="M446" s="42" t="s">
        <v>186</v>
      </c>
      <c r="N446" s="44">
        <f t="shared" si="18"/>
        <v>5.5E-2</v>
      </c>
      <c r="O446" s="44">
        <f>+VLOOKUP(J446,TC!$B$6:$C$17,2,0)*PRECIOS!N446</f>
        <v>251.70205542082527</v>
      </c>
      <c r="P446" s="42" t="str">
        <f t="shared" si="19"/>
        <v>Si</v>
      </c>
      <c r="Q446" s="44">
        <f>+IF(I446=1,O446,IF(I446=2,O446/(1+MRI!$C$18),(O446/(1+MRI!$D$18))/(1+MRI!$C$18)))</f>
        <v>251.70205542082527</v>
      </c>
      <c r="R446" s="44">
        <f t="shared" si="20"/>
        <v>251.70205542082527</v>
      </c>
    </row>
    <row r="447" spans="1:18" x14ac:dyDescent="0.3">
      <c r="A447" s="55">
        <v>446</v>
      </c>
      <c r="B447" s="55" t="s">
        <v>38</v>
      </c>
      <c r="C447" s="55" t="s">
        <v>222</v>
      </c>
      <c r="D447" s="55" t="s">
        <v>182</v>
      </c>
      <c r="E447" s="55" t="s">
        <v>45</v>
      </c>
      <c r="F447" s="55" t="s">
        <v>106</v>
      </c>
      <c r="G447" s="55" t="s">
        <v>207</v>
      </c>
      <c r="H447" s="55" t="s">
        <v>20</v>
      </c>
      <c r="I447" s="55">
        <v>3</v>
      </c>
      <c r="J447" s="55" t="s">
        <v>40</v>
      </c>
      <c r="K447" s="56">
        <v>226.93</v>
      </c>
      <c r="L447" s="55">
        <v>2500</v>
      </c>
      <c r="M447" s="55" t="s">
        <v>186</v>
      </c>
      <c r="N447" s="57">
        <f t="shared" si="18"/>
        <v>9.0772000000000005E-2</v>
      </c>
      <c r="O447" s="57">
        <f>+VLOOKUP(J447,TC!$B$6:$C$17,2,0)*PRECIOS!N447</f>
        <v>415.40907226653007</v>
      </c>
      <c r="P447" s="55" t="str">
        <f t="shared" si="19"/>
        <v>No</v>
      </c>
      <c r="Q447" s="57">
        <f>+IF(I447=1,O447,IF(I447=2,O447/(1+MRI!$C$18),(O447/(1+MRI!$D$18))/(1+MRI!$C$18)))</f>
        <v>317.56762427180945</v>
      </c>
      <c r="R447" s="57" t="str">
        <f t="shared" si="20"/>
        <v/>
      </c>
    </row>
    <row r="448" spans="1:18" x14ac:dyDescent="0.3">
      <c r="A448" s="42">
        <v>447</v>
      </c>
      <c r="B448" s="42" t="s">
        <v>38</v>
      </c>
      <c r="C448" s="42" t="s">
        <v>222</v>
      </c>
      <c r="D448" s="42" t="s">
        <v>182</v>
      </c>
      <c r="E448" s="42" t="s">
        <v>45</v>
      </c>
      <c r="F448" s="42" t="s">
        <v>106</v>
      </c>
      <c r="G448" s="42" t="s">
        <v>207</v>
      </c>
      <c r="H448" s="42" t="s">
        <v>11</v>
      </c>
      <c r="I448" s="42">
        <v>1</v>
      </c>
      <c r="J448" s="42" t="s">
        <v>40</v>
      </c>
      <c r="K448" s="43">
        <v>137.5</v>
      </c>
      <c r="L448" s="42">
        <v>2500</v>
      </c>
      <c r="M448" s="42" t="s">
        <v>186</v>
      </c>
      <c r="N448" s="44">
        <f t="shared" si="18"/>
        <v>5.5E-2</v>
      </c>
      <c r="O448" s="44">
        <f>+VLOOKUP(J448,TC!$B$6:$C$17,2,0)*PRECIOS!N448</f>
        <v>251.70205542082527</v>
      </c>
      <c r="P448" s="42" t="str">
        <f t="shared" si="19"/>
        <v>Si</v>
      </c>
      <c r="Q448" s="44">
        <f>+IF(I448=1,O448,IF(I448=2,O448/(1+MRI!$C$18),(O448/(1+MRI!$D$18))/(1+MRI!$C$18)))</f>
        <v>251.70205542082527</v>
      </c>
      <c r="R448" s="44">
        <f t="shared" si="20"/>
        <v>251.70205542082527</v>
      </c>
    </row>
    <row r="449" spans="1:18" x14ac:dyDescent="0.3">
      <c r="A449" s="55">
        <v>448</v>
      </c>
      <c r="B449" s="55" t="s">
        <v>38</v>
      </c>
      <c r="C449" s="55" t="s">
        <v>222</v>
      </c>
      <c r="D449" s="55" t="s">
        <v>182</v>
      </c>
      <c r="E449" s="55" t="s">
        <v>52</v>
      </c>
      <c r="F449" s="55" t="s">
        <v>106</v>
      </c>
      <c r="G449" s="55" t="s">
        <v>207</v>
      </c>
      <c r="H449" s="55" t="s">
        <v>20</v>
      </c>
      <c r="I449" s="55">
        <v>3</v>
      </c>
      <c r="J449" s="55" t="s">
        <v>40</v>
      </c>
      <c r="K449" s="56">
        <v>453.86</v>
      </c>
      <c r="L449" s="55">
        <v>5000</v>
      </c>
      <c r="M449" s="55" t="s">
        <v>186</v>
      </c>
      <c r="N449" s="57">
        <f t="shared" si="18"/>
        <v>9.0772000000000005E-2</v>
      </c>
      <c r="O449" s="57">
        <f>+VLOOKUP(J449,TC!$B$6:$C$17,2,0)*PRECIOS!N449</f>
        <v>415.40907226653007</v>
      </c>
      <c r="P449" s="55" t="str">
        <f t="shared" si="19"/>
        <v>No</v>
      </c>
      <c r="Q449" s="57">
        <f>+IF(I449=1,O449,IF(I449=2,O449/(1+MRI!$C$18),(O449/(1+MRI!$D$18))/(1+MRI!$C$18)))</f>
        <v>317.56762427180945</v>
      </c>
      <c r="R449" s="57" t="str">
        <f t="shared" si="20"/>
        <v/>
      </c>
    </row>
    <row r="450" spans="1:18" x14ac:dyDescent="0.3">
      <c r="A450" s="42">
        <v>449</v>
      </c>
      <c r="B450" s="42" t="s">
        <v>38</v>
      </c>
      <c r="C450" s="42" t="s">
        <v>222</v>
      </c>
      <c r="D450" s="42" t="s">
        <v>182</v>
      </c>
      <c r="E450" s="42" t="s">
        <v>52</v>
      </c>
      <c r="F450" s="42" t="s">
        <v>106</v>
      </c>
      <c r="G450" s="42" t="s">
        <v>207</v>
      </c>
      <c r="H450" s="42" t="s">
        <v>11</v>
      </c>
      <c r="I450" s="42">
        <v>1</v>
      </c>
      <c r="J450" s="42" t="s">
        <v>40</v>
      </c>
      <c r="K450" s="43">
        <v>275</v>
      </c>
      <c r="L450" s="42">
        <v>5000</v>
      </c>
      <c r="M450" s="42" t="s">
        <v>186</v>
      </c>
      <c r="N450" s="44">
        <f t="shared" si="18"/>
        <v>5.5E-2</v>
      </c>
      <c r="O450" s="44">
        <f>+VLOOKUP(J450,TC!$B$6:$C$17,2,0)*PRECIOS!N450</f>
        <v>251.70205542082527</v>
      </c>
      <c r="P450" s="42" t="str">
        <f t="shared" si="19"/>
        <v>Si</v>
      </c>
      <c r="Q450" s="44">
        <f>+IF(I450=1,O450,IF(I450=2,O450/(1+MRI!$C$18),(O450/(1+MRI!$D$18))/(1+MRI!$C$18)))</f>
        <v>251.70205542082527</v>
      </c>
      <c r="R450" s="44">
        <f t="shared" si="20"/>
        <v>251.70205542082527</v>
      </c>
    </row>
    <row r="451" spans="1:18" x14ac:dyDescent="0.3">
      <c r="A451" s="55">
        <v>450</v>
      </c>
      <c r="B451" s="55" t="s">
        <v>38</v>
      </c>
      <c r="C451" s="55" t="s">
        <v>222</v>
      </c>
      <c r="D451" s="55" t="s">
        <v>182</v>
      </c>
      <c r="E451" s="55" t="s">
        <v>79</v>
      </c>
      <c r="F451" s="55" t="s">
        <v>106</v>
      </c>
      <c r="G451" s="55" t="s">
        <v>207</v>
      </c>
      <c r="H451" s="55" t="s">
        <v>20</v>
      </c>
      <c r="I451" s="55">
        <v>3</v>
      </c>
      <c r="J451" s="55" t="s">
        <v>40</v>
      </c>
      <c r="K451" s="56">
        <v>415.9</v>
      </c>
      <c r="L451" s="55">
        <v>5000</v>
      </c>
      <c r="M451" s="55" t="s">
        <v>186</v>
      </c>
      <c r="N451" s="57">
        <f t="shared" ref="N451:N514" si="21">+K451/L451</f>
        <v>8.317999999999999E-2</v>
      </c>
      <c r="O451" s="57">
        <f>+VLOOKUP(J451,TC!$B$6:$C$17,2,0)*PRECIOS!N451</f>
        <v>380.66503581644082</v>
      </c>
      <c r="P451" s="55" t="str">
        <f t="shared" ref="P451:P514" si="22">IF(_xlfn.MINIFS($I:$I,$F:$F,F451,$E:$E,E451)=I451,"Si","No")</f>
        <v>No</v>
      </c>
      <c r="Q451" s="57">
        <f>+IF(I451=1,O451,IF(I451=2,O451/(1+MRI!$C$18),(O451/(1+MRI!$D$18))/(1+MRI!$C$18)))</f>
        <v>291.00686320593474</v>
      </c>
      <c r="R451" s="57" t="str">
        <f t="shared" ref="R451:R514" si="23">+IF(P451="Si",Q451,"")</f>
        <v/>
      </c>
    </row>
    <row r="452" spans="1:18" x14ac:dyDescent="0.3">
      <c r="A452" s="42">
        <v>451</v>
      </c>
      <c r="B452" s="42" t="s">
        <v>38</v>
      </c>
      <c r="C452" s="42" t="s">
        <v>222</v>
      </c>
      <c r="D452" s="42" t="s">
        <v>182</v>
      </c>
      <c r="E452" s="42" t="s">
        <v>79</v>
      </c>
      <c r="F452" s="42" t="s">
        <v>106</v>
      </c>
      <c r="G452" s="42" t="s">
        <v>207</v>
      </c>
      <c r="H452" s="42" t="s">
        <v>11</v>
      </c>
      <c r="I452" s="42">
        <v>1</v>
      </c>
      <c r="J452" s="42" t="s">
        <v>40</v>
      </c>
      <c r="K452" s="43">
        <v>252</v>
      </c>
      <c r="L452" s="42">
        <v>5000</v>
      </c>
      <c r="M452" s="42" t="s">
        <v>186</v>
      </c>
      <c r="N452" s="44">
        <f t="shared" si="21"/>
        <v>5.04E-2</v>
      </c>
      <c r="O452" s="44">
        <f>+VLOOKUP(J452,TC!$B$6:$C$17,2,0)*PRECIOS!N452</f>
        <v>230.65061078562897</v>
      </c>
      <c r="P452" s="42" t="str">
        <f t="shared" si="22"/>
        <v>Si</v>
      </c>
      <c r="Q452" s="44">
        <f>+IF(I452=1,O452,IF(I452=2,O452/(1+MRI!$C$18),(O452/(1+MRI!$D$18))/(1+MRI!$C$18)))</f>
        <v>230.65061078562897</v>
      </c>
      <c r="R452" s="44">
        <f t="shared" si="23"/>
        <v>230.65061078562897</v>
      </c>
    </row>
    <row r="453" spans="1:18" x14ac:dyDescent="0.3">
      <c r="A453" s="55">
        <v>452</v>
      </c>
      <c r="B453" s="55" t="s">
        <v>38</v>
      </c>
      <c r="C453" s="55" t="s">
        <v>222</v>
      </c>
      <c r="D453" s="55" t="s">
        <v>182</v>
      </c>
      <c r="E453" s="55" t="s">
        <v>70</v>
      </c>
      <c r="F453" s="55" t="s">
        <v>106</v>
      </c>
      <c r="G453" s="55" t="s">
        <v>207</v>
      </c>
      <c r="H453" s="55" t="s">
        <v>20</v>
      </c>
      <c r="I453" s="55">
        <v>3</v>
      </c>
      <c r="J453" s="55" t="s">
        <v>40</v>
      </c>
      <c r="K453" s="56">
        <v>107.27</v>
      </c>
      <c r="L453" s="55">
        <v>1000</v>
      </c>
      <c r="M453" s="55" t="s">
        <v>186</v>
      </c>
      <c r="N453" s="57">
        <f t="shared" si="21"/>
        <v>0.10726999999999999</v>
      </c>
      <c r="O453" s="57">
        <f>+VLOOKUP(J453,TC!$B$6:$C$17,2,0)*PRECIOS!N453</f>
        <v>490.91053609076226</v>
      </c>
      <c r="P453" s="55" t="str">
        <f t="shared" si="22"/>
        <v>No</v>
      </c>
      <c r="Q453" s="57">
        <f>+IF(I453=1,O453,IF(I453=2,O453/(1+MRI!$C$18),(O453/(1+MRI!$D$18))/(1+MRI!$C$18)))</f>
        <v>375.28620120342168</v>
      </c>
      <c r="R453" s="57" t="str">
        <f t="shared" si="23"/>
        <v/>
      </c>
    </row>
    <row r="454" spans="1:18" x14ac:dyDescent="0.3">
      <c r="A454" s="42">
        <v>453</v>
      </c>
      <c r="B454" s="42" t="s">
        <v>38</v>
      </c>
      <c r="C454" s="42" t="s">
        <v>222</v>
      </c>
      <c r="D454" s="42" t="s">
        <v>182</v>
      </c>
      <c r="E454" s="42" t="s">
        <v>70</v>
      </c>
      <c r="F454" s="42" t="s">
        <v>106</v>
      </c>
      <c r="G454" s="42" t="s">
        <v>207</v>
      </c>
      <c r="H454" s="42" t="s">
        <v>11</v>
      </c>
      <c r="I454" s="42">
        <v>1</v>
      </c>
      <c r="J454" s="42" t="s">
        <v>40</v>
      </c>
      <c r="K454" s="43">
        <v>65</v>
      </c>
      <c r="L454" s="42">
        <v>1000</v>
      </c>
      <c r="M454" s="42" t="s">
        <v>186</v>
      </c>
      <c r="N454" s="44">
        <f t="shared" si="21"/>
        <v>6.5000000000000002E-2</v>
      </c>
      <c r="O454" s="44">
        <f>+VLOOKUP(J454,TC!$B$6:$C$17,2,0)*PRECIOS!N454</f>
        <v>297.46606549733895</v>
      </c>
      <c r="P454" s="42" t="str">
        <f t="shared" si="22"/>
        <v>Si</v>
      </c>
      <c r="Q454" s="44">
        <f>+IF(I454=1,O454,IF(I454=2,O454/(1+MRI!$C$18),(O454/(1+MRI!$D$18))/(1+MRI!$C$18)))</f>
        <v>297.46606549733895</v>
      </c>
      <c r="R454" s="44">
        <f t="shared" si="23"/>
        <v>297.46606549733895</v>
      </c>
    </row>
    <row r="455" spans="1:18" x14ac:dyDescent="0.3">
      <c r="A455" s="55">
        <v>454</v>
      </c>
      <c r="B455" s="55" t="s">
        <v>38</v>
      </c>
      <c r="C455" s="55" t="s">
        <v>222</v>
      </c>
      <c r="D455" s="55" t="s">
        <v>182</v>
      </c>
      <c r="E455" s="55" t="s">
        <v>69</v>
      </c>
      <c r="F455" s="55" t="s">
        <v>106</v>
      </c>
      <c r="G455" s="55" t="s">
        <v>207</v>
      </c>
      <c r="H455" s="55" t="s">
        <v>20</v>
      </c>
      <c r="I455" s="55">
        <v>3</v>
      </c>
      <c r="J455" s="55" t="s">
        <v>40</v>
      </c>
      <c r="K455" s="56">
        <v>268.19</v>
      </c>
      <c r="L455" s="55">
        <v>2500</v>
      </c>
      <c r="M455" s="55" t="s">
        <v>186</v>
      </c>
      <c r="N455" s="57">
        <f t="shared" si="21"/>
        <v>0.107276</v>
      </c>
      <c r="O455" s="57">
        <f>+VLOOKUP(J455,TC!$B$6:$C$17,2,0)*PRECIOS!N455</f>
        <v>490.93799449680819</v>
      </c>
      <c r="P455" s="55" t="str">
        <f t="shared" si="22"/>
        <v>No</v>
      </c>
      <c r="Q455" s="57">
        <f>+IF(I455=1,O455,IF(I455=2,O455/(1+MRI!$C$18),(O455/(1+MRI!$D$18))/(1+MRI!$C$18)))</f>
        <v>375.30719232122925</v>
      </c>
      <c r="R455" s="57" t="str">
        <f t="shared" si="23"/>
        <v/>
      </c>
    </row>
    <row r="456" spans="1:18" x14ac:dyDescent="0.3">
      <c r="A456" s="42">
        <v>455</v>
      </c>
      <c r="B456" s="42" t="s">
        <v>38</v>
      </c>
      <c r="C456" s="42" t="s">
        <v>222</v>
      </c>
      <c r="D456" s="42" t="s">
        <v>182</v>
      </c>
      <c r="E456" s="42" t="s">
        <v>69</v>
      </c>
      <c r="F456" s="42" t="s">
        <v>106</v>
      </c>
      <c r="G456" s="42" t="s">
        <v>207</v>
      </c>
      <c r="H456" s="42" t="s">
        <v>11</v>
      </c>
      <c r="I456" s="42">
        <v>1</v>
      </c>
      <c r="J456" s="42" t="s">
        <v>40</v>
      </c>
      <c r="K456" s="43">
        <v>162.5</v>
      </c>
      <c r="L456" s="42">
        <v>2500</v>
      </c>
      <c r="M456" s="42" t="s">
        <v>186</v>
      </c>
      <c r="N456" s="44">
        <f t="shared" si="21"/>
        <v>6.5000000000000002E-2</v>
      </c>
      <c r="O456" s="44">
        <f>+VLOOKUP(J456,TC!$B$6:$C$17,2,0)*PRECIOS!N456</f>
        <v>297.46606549733895</v>
      </c>
      <c r="P456" s="42" t="str">
        <f t="shared" si="22"/>
        <v>Si</v>
      </c>
      <c r="Q456" s="44">
        <f>+IF(I456=1,O456,IF(I456=2,O456/(1+MRI!$C$18),(O456/(1+MRI!$D$18))/(1+MRI!$C$18)))</f>
        <v>297.46606549733895</v>
      </c>
      <c r="R456" s="44">
        <f t="shared" si="23"/>
        <v>297.46606549733895</v>
      </c>
    </row>
    <row r="457" spans="1:18" x14ac:dyDescent="0.3">
      <c r="A457" s="55">
        <v>456</v>
      </c>
      <c r="B457" s="55" t="s">
        <v>38</v>
      </c>
      <c r="C457" s="55" t="s">
        <v>222</v>
      </c>
      <c r="D457" s="55" t="s">
        <v>182</v>
      </c>
      <c r="E457" s="55" t="s">
        <v>68</v>
      </c>
      <c r="F457" s="55" t="s">
        <v>106</v>
      </c>
      <c r="G457" s="55" t="s">
        <v>207</v>
      </c>
      <c r="H457" s="55" t="s">
        <v>20</v>
      </c>
      <c r="I457" s="55">
        <v>3</v>
      </c>
      <c r="J457" s="55" t="s">
        <v>40</v>
      </c>
      <c r="K457" s="56">
        <v>536.38</v>
      </c>
      <c r="L457" s="55">
        <v>5000</v>
      </c>
      <c r="M457" s="55" t="s">
        <v>186</v>
      </c>
      <c r="N457" s="57">
        <f t="shared" si="21"/>
        <v>0.107276</v>
      </c>
      <c r="O457" s="57">
        <f>+VLOOKUP(J457,TC!$B$6:$C$17,2,0)*PRECIOS!N457</f>
        <v>490.93799449680819</v>
      </c>
      <c r="P457" s="55" t="str">
        <f t="shared" si="22"/>
        <v>No</v>
      </c>
      <c r="Q457" s="57">
        <f>+IF(I457=1,O457,IF(I457=2,O457/(1+MRI!$C$18),(O457/(1+MRI!$D$18))/(1+MRI!$C$18)))</f>
        <v>375.30719232122925</v>
      </c>
      <c r="R457" s="57" t="str">
        <f t="shared" si="23"/>
        <v/>
      </c>
    </row>
    <row r="458" spans="1:18" x14ac:dyDescent="0.3">
      <c r="A458" s="42">
        <v>457</v>
      </c>
      <c r="B458" s="42" t="s">
        <v>38</v>
      </c>
      <c r="C458" s="42" t="s">
        <v>222</v>
      </c>
      <c r="D458" s="42" t="s">
        <v>182</v>
      </c>
      <c r="E458" s="42" t="s">
        <v>68</v>
      </c>
      <c r="F458" s="42" t="s">
        <v>106</v>
      </c>
      <c r="G458" s="42" t="s">
        <v>207</v>
      </c>
      <c r="H458" s="42" t="s">
        <v>11</v>
      </c>
      <c r="I458" s="42">
        <v>1</v>
      </c>
      <c r="J458" s="42" t="s">
        <v>40</v>
      </c>
      <c r="K458" s="43">
        <v>325</v>
      </c>
      <c r="L458" s="42">
        <v>5000</v>
      </c>
      <c r="M458" s="42" t="s">
        <v>186</v>
      </c>
      <c r="N458" s="44">
        <f t="shared" si="21"/>
        <v>6.5000000000000002E-2</v>
      </c>
      <c r="O458" s="44">
        <f>+VLOOKUP(J458,TC!$B$6:$C$17,2,0)*PRECIOS!N458</f>
        <v>297.46606549733895</v>
      </c>
      <c r="P458" s="42" t="str">
        <f t="shared" si="22"/>
        <v>Si</v>
      </c>
      <c r="Q458" s="44">
        <f>+IF(I458=1,O458,IF(I458=2,O458/(1+MRI!$C$18),(O458/(1+MRI!$D$18))/(1+MRI!$C$18)))</f>
        <v>297.46606549733895</v>
      </c>
      <c r="R458" s="44">
        <f t="shared" si="23"/>
        <v>297.46606549733895</v>
      </c>
    </row>
    <row r="459" spans="1:18" x14ac:dyDescent="0.3">
      <c r="A459" s="55">
        <v>458</v>
      </c>
      <c r="B459" s="55" t="s">
        <v>38</v>
      </c>
      <c r="C459" s="55" t="s">
        <v>222</v>
      </c>
      <c r="D459" s="55" t="s">
        <v>182</v>
      </c>
      <c r="E459" s="55" t="s">
        <v>66</v>
      </c>
      <c r="F459" s="55" t="s">
        <v>106</v>
      </c>
      <c r="G459" s="55" t="s">
        <v>207</v>
      </c>
      <c r="H459" s="55" t="s">
        <v>20</v>
      </c>
      <c r="I459" s="55">
        <v>3</v>
      </c>
      <c r="J459" s="55" t="s">
        <v>40</v>
      </c>
      <c r="K459" s="56">
        <v>268.19</v>
      </c>
      <c r="L459" s="55">
        <v>2500</v>
      </c>
      <c r="M459" s="55" t="s">
        <v>186</v>
      </c>
      <c r="N459" s="57">
        <f t="shared" si="21"/>
        <v>0.107276</v>
      </c>
      <c r="O459" s="57">
        <f>+VLOOKUP(J459,TC!$B$6:$C$17,2,0)*PRECIOS!N459</f>
        <v>490.93799449680819</v>
      </c>
      <c r="P459" s="55" t="str">
        <f t="shared" si="22"/>
        <v>No</v>
      </c>
      <c r="Q459" s="57">
        <f>+IF(I459=1,O459,IF(I459=2,O459/(1+MRI!$C$18),(O459/(1+MRI!$D$18))/(1+MRI!$C$18)))</f>
        <v>375.30719232122925</v>
      </c>
      <c r="R459" s="57" t="str">
        <f t="shared" si="23"/>
        <v/>
      </c>
    </row>
    <row r="460" spans="1:18" x14ac:dyDescent="0.3">
      <c r="A460" s="42">
        <v>459</v>
      </c>
      <c r="B460" s="42" t="s">
        <v>38</v>
      </c>
      <c r="C460" s="42" t="s">
        <v>222</v>
      </c>
      <c r="D460" s="42" t="s">
        <v>182</v>
      </c>
      <c r="E460" s="42" t="s">
        <v>66</v>
      </c>
      <c r="F460" s="42" t="s">
        <v>106</v>
      </c>
      <c r="G460" s="42" t="s">
        <v>207</v>
      </c>
      <c r="H460" s="42" t="s">
        <v>11</v>
      </c>
      <c r="I460" s="42">
        <v>1</v>
      </c>
      <c r="J460" s="42" t="s">
        <v>40</v>
      </c>
      <c r="K460" s="43">
        <v>162.5</v>
      </c>
      <c r="L460" s="42">
        <v>2500</v>
      </c>
      <c r="M460" s="42" t="s">
        <v>186</v>
      </c>
      <c r="N460" s="44">
        <f t="shared" si="21"/>
        <v>6.5000000000000002E-2</v>
      </c>
      <c r="O460" s="44">
        <f>+VLOOKUP(J460,TC!$B$6:$C$17,2,0)*PRECIOS!N460</f>
        <v>297.46606549733895</v>
      </c>
      <c r="P460" s="42" t="str">
        <f t="shared" si="22"/>
        <v>Si</v>
      </c>
      <c r="Q460" s="44">
        <f>+IF(I460=1,O460,IF(I460=2,O460/(1+MRI!$C$18),(O460/(1+MRI!$D$18))/(1+MRI!$C$18)))</f>
        <v>297.46606549733895</v>
      </c>
      <c r="R460" s="44">
        <f t="shared" si="23"/>
        <v>297.46606549733895</v>
      </c>
    </row>
    <row r="461" spans="1:18" x14ac:dyDescent="0.3">
      <c r="A461" s="55">
        <v>460</v>
      </c>
      <c r="B461" s="55" t="s">
        <v>38</v>
      </c>
      <c r="C461" s="55" t="s">
        <v>222</v>
      </c>
      <c r="D461" s="55" t="s">
        <v>182</v>
      </c>
      <c r="E461" s="55" t="s">
        <v>67</v>
      </c>
      <c r="F461" s="55" t="s">
        <v>106</v>
      </c>
      <c r="G461" s="55" t="s">
        <v>207</v>
      </c>
      <c r="H461" s="55" t="s">
        <v>20</v>
      </c>
      <c r="I461" s="55">
        <v>3</v>
      </c>
      <c r="J461" s="55" t="s">
        <v>40</v>
      </c>
      <c r="K461" s="56">
        <v>536.38</v>
      </c>
      <c r="L461" s="55">
        <v>5000</v>
      </c>
      <c r="M461" s="55" t="s">
        <v>186</v>
      </c>
      <c r="N461" s="57">
        <f t="shared" si="21"/>
        <v>0.107276</v>
      </c>
      <c r="O461" s="57">
        <f>+VLOOKUP(J461,TC!$B$6:$C$17,2,0)*PRECIOS!N461</f>
        <v>490.93799449680819</v>
      </c>
      <c r="P461" s="55" t="str">
        <f t="shared" si="22"/>
        <v>No</v>
      </c>
      <c r="Q461" s="57">
        <f>+IF(I461=1,O461,IF(I461=2,O461/(1+MRI!$C$18),(O461/(1+MRI!$D$18))/(1+MRI!$C$18)))</f>
        <v>375.30719232122925</v>
      </c>
      <c r="R461" s="57" t="str">
        <f t="shared" si="23"/>
        <v/>
      </c>
    </row>
    <row r="462" spans="1:18" x14ac:dyDescent="0.3">
      <c r="A462" s="42">
        <v>461</v>
      </c>
      <c r="B462" s="42" t="s">
        <v>38</v>
      </c>
      <c r="C462" s="42" t="s">
        <v>222</v>
      </c>
      <c r="D462" s="42" t="s">
        <v>182</v>
      </c>
      <c r="E462" s="42" t="s">
        <v>67</v>
      </c>
      <c r="F462" s="42" t="s">
        <v>106</v>
      </c>
      <c r="G462" s="42" t="s">
        <v>207</v>
      </c>
      <c r="H462" s="42" t="s">
        <v>11</v>
      </c>
      <c r="I462" s="42">
        <v>1</v>
      </c>
      <c r="J462" s="42" t="s">
        <v>40</v>
      </c>
      <c r="K462" s="43">
        <v>325</v>
      </c>
      <c r="L462" s="42">
        <v>5000</v>
      </c>
      <c r="M462" s="42" t="s">
        <v>186</v>
      </c>
      <c r="N462" s="44">
        <f t="shared" si="21"/>
        <v>6.5000000000000002E-2</v>
      </c>
      <c r="O462" s="44">
        <f>+VLOOKUP(J462,TC!$B$6:$C$17,2,0)*PRECIOS!N462</f>
        <v>297.46606549733895</v>
      </c>
      <c r="P462" s="42" t="str">
        <f t="shared" si="22"/>
        <v>Si</v>
      </c>
      <c r="Q462" s="44">
        <f>+IF(I462=1,O462,IF(I462=2,O462/(1+MRI!$C$18),(O462/(1+MRI!$D$18))/(1+MRI!$C$18)))</f>
        <v>297.46606549733895</v>
      </c>
      <c r="R462" s="44">
        <f t="shared" si="23"/>
        <v>297.46606549733895</v>
      </c>
    </row>
    <row r="463" spans="1:18" x14ac:dyDescent="0.3">
      <c r="A463" s="55">
        <v>462</v>
      </c>
      <c r="B463" s="55" t="s">
        <v>38</v>
      </c>
      <c r="C463" s="55" t="s">
        <v>222</v>
      </c>
      <c r="D463" s="55" t="s">
        <v>182</v>
      </c>
      <c r="E463" s="55" t="s">
        <v>80</v>
      </c>
      <c r="F463" s="55" t="s">
        <v>106</v>
      </c>
      <c r="G463" s="55" t="s">
        <v>207</v>
      </c>
      <c r="H463" s="55" t="s">
        <v>20</v>
      </c>
      <c r="I463" s="55">
        <v>3</v>
      </c>
      <c r="J463" s="55" t="s">
        <v>40</v>
      </c>
      <c r="K463" s="56">
        <v>907.72</v>
      </c>
      <c r="L463" s="55">
        <v>10000</v>
      </c>
      <c r="M463" s="55" t="s">
        <v>186</v>
      </c>
      <c r="N463" s="57">
        <f t="shared" si="21"/>
        <v>9.0772000000000005E-2</v>
      </c>
      <c r="O463" s="57">
        <f>+VLOOKUP(J463,TC!$B$6:$C$17,2,0)*PRECIOS!N463</f>
        <v>415.40907226653007</v>
      </c>
      <c r="P463" s="55" t="str">
        <f t="shared" si="22"/>
        <v>No</v>
      </c>
      <c r="Q463" s="57">
        <f>+IF(I463=1,O463,IF(I463=2,O463/(1+MRI!$C$18),(O463/(1+MRI!$D$18))/(1+MRI!$C$18)))</f>
        <v>317.56762427180945</v>
      </c>
      <c r="R463" s="57" t="str">
        <f t="shared" si="23"/>
        <v/>
      </c>
    </row>
    <row r="464" spans="1:18" x14ac:dyDescent="0.3">
      <c r="A464" s="42">
        <v>463</v>
      </c>
      <c r="B464" s="42" t="s">
        <v>38</v>
      </c>
      <c r="C464" s="42" t="s">
        <v>222</v>
      </c>
      <c r="D464" s="42" t="s">
        <v>182</v>
      </c>
      <c r="E464" s="42" t="s">
        <v>80</v>
      </c>
      <c r="F464" s="42" t="s">
        <v>106</v>
      </c>
      <c r="G464" s="42" t="s">
        <v>207</v>
      </c>
      <c r="H464" s="42" t="s">
        <v>11</v>
      </c>
      <c r="I464" s="42">
        <v>1</v>
      </c>
      <c r="J464" s="42" t="s">
        <v>40</v>
      </c>
      <c r="K464" s="43">
        <v>550</v>
      </c>
      <c r="L464" s="42">
        <v>10000</v>
      </c>
      <c r="M464" s="42" t="s">
        <v>186</v>
      </c>
      <c r="N464" s="44">
        <f t="shared" si="21"/>
        <v>5.5E-2</v>
      </c>
      <c r="O464" s="44">
        <f>+VLOOKUP(J464,TC!$B$6:$C$17,2,0)*PRECIOS!N464</f>
        <v>251.70205542082527</v>
      </c>
      <c r="P464" s="42" t="str">
        <f t="shared" si="22"/>
        <v>Si</v>
      </c>
      <c r="Q464" s="44">
        <f>+IF(I464=1,O464,IF(I464=2,O464/(1+MRI!$C$18),(O464/(1+MRI!$D$18))/(1+MRI!$C$18)))</f>
        <v>251.70205542082527</v>
      </c>
      <c r="R464" s="44">
        <f t="shared" si="23"/>
        <v>251.70205542082527</v>
      </c>
    </row>
    <row r="465" spans="1:18" x14ac:dyDescent="0.3">
      <c r="A465" s="55">
        <v>464</v>
      </c>
      <c r="B465" s="55" t="s">
        <v>38</v>
      </c>
      <c r="C465" s="55" t="s">
        <v>222</v>
      </c>
      <c r="D465" s="55" t="s">
        <v>182</v>
      </c>
      <c r="E465" s="55" t="s">
        <v>131</v>
      </c>
      <c r="F465" s="55" t="s">
        <v>106</v>
      </c>
      <c r="G465" s="55" t="s">
        <v>207</v>
      </c>
      <c r="H465" s="55" t="s">
        <v>20</v>
      </c>
      <c r="I465" s="55">
        <v>3</v>
      </c>
      <c r="J465" s="55" t="s">
        <v>40</v>
      </c>
      <c r="K465" s="56">
        <v>90.77</v>
      </c>
      <c r="L465" s="55">
        <v>1000</v>
      </c>
      <c r="M465" s="55" t="s">
        <v>186</v>
      </c>
      <c r="N465" s="57">
        <f t="shared" si="21"/>
        <v>9.076999999999999E-2</v>
      </c>
      <c r="O465" s="57">
        <f>+VLOOKUP(J465,TC!$B$6:$C$17,2,0)*PRECIOS!N465</f>
        <v>415.39991946451471</v>
      </c>
      <c r="P465" s="55" t="str">
        <f t="shared" si="22"/>
        <v>No</v>
      </c>
      <c r="Q465" s="57">
        <f>+IF(I465=1,O465,IF(I465=2,O465/(1+MRI!$C$18),(O465/(1+MRI!$D$18))/(1+MRI!$C$18)))</f>
        <v>317.56062723254024</v>
      </c>
      <c r="R465" s="57" t="str">
        <f t="shared" si="23"/>
        <v/>
      </c>
    </row>
    <row r="466" spans="1:18" x14ac:dyDescent="0.3">
      <c r="A466" s="42">
        <v>465</v>
      </c>
      <c r="B466" s="42" t="s">
        <v>38</v>
      </c>
      <c r="C466" s="42" t="s">
        <v>222</v>
      </c>
      <c r="D466" s="42" t="s">
        <v>182</v>
      </c>
      <c r="E466" s="42" t="s">
        <v>131</v>
      </c>
      <c r="F466" s="42" t="s">
        <v>106</v>
      </c>
      <c r="G466" s="42" t="s">
        <v>207</v>
      </c>
      <c r="H466" s="42" t="s">
        <v>11</v>
      </c>
      <c r="I466" s="42">
        <v>1</v>
      </c>
      <c r="J466" s="42" t="s">
        <v>40</v>
      </c>
      <c r="K466" s="43">
        <v>55</v>
      </c>
      <c r="L466" s="42">
        <v>1000</v>
      </c>
      <c r="M466" s="42" t="s">
        <v>186</v>
      </c>
      <c r="N466" s="44">
        <f t="shared" si="21"/>
        <v>5.5E-2</v>
      </c>
      <c r="O466" s="44">
        <f>+VLOOKUP(J466,TC!$B$6:$C$17,2,0)*PRECIOS!N466</f>
        <v>251.70205542082527</v>
      </c>
      <c r="P466" s="42" t="str">
        <f t="shared" si="22"/>
        <v>Si</v>
      </c>
      <c r="Q466" s="44">
        <f>+IF(I466=1,O466,IF(I466=2,O466/(1+MRI!$C$18),(O466/(1+MRI!$D$18))/(1+MRI!$C$18)))</f>
        <v>251.70205542082527</v>
      </c>
      <c r="R466" s="44">
        <f t="shared" si="23"/>
        <v>251.70205542082527</v>
      </c>
    </row>
    <row r="467" spans="1:18" x14ac:dyDescent="0.3">
      <c r="A467" s="55">
        <v>466</v>
      </c>
      <c r="B467" s="55" t="s">
        <v>38</v>
      </c>
      <c r="C467" s="55" t="s">
        <v>222</v>
      </c>
      <c r="D467" s="55" t="s">
        <v>182</v>
      </c>
      <c r="E467" s="55" t="s">
        <v>81</v>
      </c>
      <c r="F467" s="55" t="s">
        <v>106</v>
      </c>
      <c r="G467" s="55" t="s">
        <v>207</v>
      </c>
      <c r="H467" s="55" t="s">
        <v>20</v>
      </c>
      <c r="I467" s="55">
        <v>3</v>
      </c>
      <c r="J467" s="55" t="s">
        <v>40</v>
      </c>
      <c r="K467" s="56">
        <v>1815.44</v>
      </c>
      <c r="L467" s="55">
        <v>20000</v>
      </c>
      <c r="M467" s="55" t="s">
        <v>186</v>
      </c>
      <c r="N467" s="57">
        <f t="shared" si="21"/>
        <v>9.0772000000000005E-2</v>
      </c>
      <c r="O467" s="57">
        <f>+VLOOKUP(J467,TC!$B$6:$C$17,2,0)*PRECIOS!N467</f>
        <v>415.40907226653007</v>
      </c>
      <c r="P467" s="55" t="str">
        <f t="shared" si="22"/>
        <v>No</v>
      </c>
      <c r="Q467" s="57">
        <f>+IF(I467=1,O467,IF(I467=2,O467/(1+MRI!$C$18),(O467/(1+MRI!$D$18))/(1+MRI!$C$18)))</f>
        <v>317.56762427180945</v>
      </c>
      <c r="R467" s="57" t="str">
        <f t="shared" si="23"/>
        <v/>
      </c>
    </row>
    <row r="468" spans="1:18" x14ac:dyDescent="0.3">
      <c r="A468" s="42">
        <v>467</v>
      </c>
      <c r="B468" s="42" t="s">
        <v>38</v>
      </c>
      <c r="C468" s="42" t="s">
        <v>222</v>
      </c>
      <c r="D468" s="42" t="s">
        <v>182</v>
      </c>
      <c r="E468" s="42" t="s">
        <v>81</v>
      </c>
      <c r="F468" s="42" t="s">
        <v>106</v>
      </c>
      <c r="G468" s="42" t="s">
        <v>207</v>
      </c>
      <c r="H468" s="42" t="s">
        <v>11</v>
      </c>
      <c r="I468" s="42">
        <v>1</v>
      </c>
      <c r="J468" s="42" t="s">
        <v>40</v>
      </c>
      <c r="K468" s="43">
        <v>1100</v>
      </c>
      <c r="L468" s="42">
        <v>20000</v>
      </c>
      <c r="M468" s="42" t="s">
        <v>186</v>
      </c>
      <c r="N468" s="44">
        <f t="shared" si="21"/>
        <v>5.5E-2</v>
      </c>
      <c r="O468" s="44">
        <f>+VLOOKUP(J468,TC!$B$6:$C$17,2,0)*PRECIOS!N468</f>
        <v>251.70205542082527</v>
      </c>
      <c r="P468" s="42" t="str">
        <f t="shared" si="22"/>
        <v>Si</v>
      </c>
      <c r="Q468" s="44">
        <f>+IF(I468=1,O468,IF(I468=2,O468/(1+MRI!$C$18),(O468/(1+MRI!$D$18))/(1+MRI!$C$18)))</f>
        <v>251.70205542082527</v>
      </c>
      <c r="R468" s="44">
        <f t="shared" si="23"/>
        <v>251.70205542082527</v>
      </c>
    </row>
    <row r="469" spans="1:18" x14ac:dyDescent="0.3">
      <c r="A469" s="55">
        <v>468</v>
      </c>
      <c r="B469" s="55" t="s">
        <v>38</v>
      </c>
      <c r="C469" s="55" t="s">
        <v>222</v>
      </c>
      <c r="D469" s="55" t="s">
        <v>182</v>
      </c>
      <c r="E469" s="55" t="s">
        <v>82</v>
      </c>
      <c r="F469" s="55" t="s">
        <v>106</v>
      </c>
      <c r="G469" s="55" t="s">
        <v>207</v>
      </c>
      <c r="H469" s="55" t="s">
        <v>20</v>
      </c>
      <c r="I469" s="55">
        <v>3</v>
      </c>
      <c r="J469" s="55" t="s">
        <v>40</v>
      </c>
      <c r="K469" s="56">
        <v>226.93</v>
      </c>
      <c r="L469" s="55">
        <v>2500</v>
      </c>
      <c r="M469" s="55" t="s">
        <v>186</v>
      </c>
      <c r="N469" s="57">
        <f t="shared" si="21"/>
        <v>9.0772000000000005E-2</v>
      </c>
      <c r="O469" s="57">
        <f>+VLOOKUP(J469,TC!$B$6:$C$17,2,0)*PRECIOS!N469</f>
        <v>415.40907226653007</v>
      </c>
      <c r="P469" s="55" t="str">
        <f t="shared" si="22"/>
        <v>No</v>
      </c>
      <c r="Q469" s="57">
        <f>+IF(I469=1,O469,IF(I469=2,O469/(1+MRI!$C$18),(O469/(1+MRI!$D$18))/(1+MRI!$C$18)))</f>
        <v>317.56762427180945</v>
      </c>
      <c r="R469" s="57" t="str">
        <f t="shared" si="23"/>
        <v/>
      </c>
    </row>
    <row r="470" spans="1:18" x14ac:dyDescent="0.3">
      <c r="A470" s="42">
        <v>469</v>
      </c>
      <c r="B470" s="42" t="s">
        <v>38</v>
      </c>
      <c r="C470" s="42" t="s">
        <v>222</v>
      </c>
      <c r="D470" s="42" t="s">
        <v>182</v>
      </c>
      <c r="E470" s="42" t="s">
        <v>82</v>
      </c>
      <c r="F470" s="42" t="s">
        <v>106</v>
      </c>
      <c r="G470" s="42" t="s">
        <v>207</v>
      </c>
      <c r="H470" s="42" t="s">
        <v>11</v>
      </c>
      <c r="I470" s="42">
        <v>1</v>
      </c>
      <c r="J470" s="42" t="s">
        <v>40</v>
      </c>
      <c r="K470" s="43">
        <v>137.5</v>
      </c>
      <c r="L470" s="42">
        <v>2500</v>
      </c>
      <c r="M470" s="42" t="s">
        <v>186</v>
      </c>
      <c r="N470" s="44">
        <f t="shared" si="21"/>
        <v>5.5E-2</v>
      </c>
      <c r="O470" s="44">
        <f>+VLOOKUP(J470,TC!$B$6:$C$17,2,0)*PRECIOS!N470</f>
        <v>251.70205542082527</v>
      </c>
      <c r="P470" s="42" t="str">
        <f t="shared" si="22"/>
        <v>Si</v>
      </c>
      <c r="Q470" s="44">
        <f>+IF(I470=1,O470,IF(I470=2,O470/(1+MRI!$C$18),(O470/(1+MRI!$D$18))/(1+MRI!$C$18)))</f>
        <v>251.70205542082527</v>
      </c>
      <c r="R470" s="44">
        <f t="shared" si="23"/>
        <v>251.70205542082527</v>
      </c>
    </row>
    <row r="471" spans="1:18" x14ac:dyDescent="0.3">
      <c r="A471" s="55">
        <v>470</v>
      </c>
      <c r="B471" s="55" t="s">
        <v>38</v>
      </c>
      <c r="C471" s="55" t="s">
        <v>222</v>
      </c>
      <c r="D471" s="55" t="s">
        <v>182</v>
      </c>
      <c r="E471" s="55" t="s">
        <v>83</v>
      </c>
      <c r="F471" s="55" t="s">
        <v>106</v>
      </c>
      <c r="G471" s="55" t="s">
        <v>207</v>
      </c>
      <c r="H471" s="55" t="s">
        <v>20</v>
      </c>
      <c r="I471" s="55">
        <v>3</v>
      </c>
      <c r="J471" s="55" t="s">
        <v>40</v>
      </c>
      <c r="K471" s="56">
        <v>2723.16</v>
      </c>
      <c r="L471" s="55">
        <v>30000</v>
      </c>
      <c r="M471" s="55" t="s">
        <v>186</v>
      </c>
      <c r="N471" s="57">
        <f t="shared" si="21"/>
        <v>9.0771999999999992E-2</v>
      </c>
      <c r="O471" s="57">
        <f>+VLOOKUP(J471,TC!$B$6:$C$17,2,0)*PRECIOS!N471</f>
        <v>415.40907226653002</v>
      </c>
      <c r="P471" s="55" t="str">
        <f t="shared" si="22"/>
        <v>No</v>
      </c>
      <c r="Q471" s="57">
        <f>+IF(I471=1,O471,IF(I471=2,O471/(1+MRI!$C$18),(O471/(1+MRI!$D$18))/(1+MRI!$C$18)))</f>
        <v>317.56762427180939</v>
      </c>
      <c r="R471" s="57" t="str">
        <f t="shared" si="23"/>
        <v/>
      </c>
    </row>
    <row r="472" spans="1:18" x14ac:dyDescent="0.3">
      <c r="A472" s="42">
        <v>471</v>
      </c>
      <c r="B472" s="42" t="s">
        <v>38</v>
      </c>
      <c r="C472" s="42" t="s">
        <v>222</v>
      </c>
      <c r="D472" s="42" t="s">
        <v>182</v>
      </c>
      <c r="E472" s="42" t="s">
        <v>83</v>
      </c>
      <c r="F472" s="42" t="s">
        <v>106</v>
      </c>
      <c r="G472" s="42" t="s">
        <v>207</v>
      </c>
      <c r="H472" s="42" t="s">
        <v>11</v>
      </c>
      <c r="I472" s="42">
        <v>1</v>
      </c>
      <c r="J472" s="42" t="s">
        <v>40</v>
      </c>
      <c r="K472" s="43">
        <v>1650</v>
      </c>
      <c r="L472" s="42">
        <v>30000</v>
      </c>
      <c r="M472" s="42" t="s">
        <v>186</v>
      </c>
      <c r="N472" s="44">
        <f t="shared" si="21"/>
        <v>5.5E-2</v>
      </c>
      <c r="O472" s="44">
        <f>+VLOOKUP(J472,TC!$B$6:$C$17,2,0)*PRECIOS!N472</f>
        <v>251.70205542082527</v>
      </c>
      <c r="P472" s="42" t="str">
        <f t="shared" si="22"/>
        <v>Si</v>
      </c>
      <c r="Q472" s="44">
        <f>+IF(I472=1,O472,IF(I472=2,O472/(1+MRI!$C$18),(O472/(1+MRI!$D$18))/(1+MRI!$C$18)))</f>
        <v>251.70205542082527</v>
      </c>
      <c r="R472" s="44">
        <f t="shared" si="23"/>
        <v>251.70205542082527</v>
      </c>
    </row>
    <row r="473" spans="1:18" x14ac:dyDescent="0.3">
      <c r="A473" s="55">
        <v>472</v>
      </c>
      <c r="B473" s="55" t="s">
        <v>38</v>
      </c>
      <c r="C473" s="55" t="s">
        <v>222</v>
      </c>
      <c r="D473" s="55" t="s">
        <v>182</v>
      </c>
      <c r="E473" s="55" t="s">
        <v>84</v>
      </c>
      <c r="F473" s="55" t="s">
        <v>106</v>
      </c>
      <c r="G473" s="55" t="s">
        <v>207</v>
      </c>
      <c r="H473" s="55" t="s">
        <v>20</v>
      </c>
      <c r="I473" s="55">
        <v>3</v>
      </c>
      <c r="J473" s="55" t="s">
        <v>40</v>
      </c>
      <c r="K473" s="56">
        <v>453.86</v>
      </c>
      <c r="L473" s="55">
        <v>5000</v>
      </c>
      <c r="M473" s="55" t="s">
        <v>186</v>
      </c>
      <c r="N473" s="57">
        <f t="shared" si="21"/>
        <v>9.0772000000000005E-2</v>
      </c>
      <c r="O473" s="57">
        <f>+VLOOKUP(J473,TC!$B$6:$C$17,2,0)*PRECIOS!N473</f>
        <v>415.40907226653007</v>
      </c>
      <c r="P473" s="55" t="str">
        <f t="shared" si="22"/>
        <v>No</v>
      </c>
      <c r="Q473" s="57">
        <f>+IF(I473=1,O473,IF(I473=2,O473/(1+MRI!$C$18),(O473/(1+MRI!$D$18))/(1+MRI!$C$18)))</f>
        <v>317.56762427180945</v>
      </c>
      <c r="R473" s="57" t="str">
        <f t="shared" si="23"/>
        <v/>
      </c>
    </row>
    <row r="474" spans="1:18" x14ac:dyDescent="0.3">
      <c r="A474" s="42">
        <v>473</v>
      </c>
      <c r="B474" s="42" t="s">
        <v>38</v>
      </c>
      <c r="C474" s="42" t="s">
        <v>222</v>
      </c>
      <c r="D474" s="42" t="s">
        <v>182</v>
      </c>
      <c r="E474" s="42" t="s">
        <v>84</v>
      </c>
      <c r="F474" s="42" t="s">
        <v>106</v>
      </c>
      <c r="G474" s="42" t="s">
        <v>207</v>
      </c>
      <c r="H474" s="42" t="s">
        <v>11</v>
      </c>
      <c r="I474" s="42">
        <v>1</v>
      </c>
      <c r="J474" s="42" t="s">
        <v>40</v>
      </c>
      <c r="K474" s="43">
        <v>275</v>
      </c>
      <c r="L474" s="42">
        <v>5000</v>
      </c>
      <c r="M474" s="42" t="s">
        <v>186</v>
      </c>
      <c r="N474" s="44">
        <f t="shared" si="21"/>
        <v>5.5E-2</v>
      </c>
      <c r="O474" s="44">
        <f>+VLOOKUP(J474,TC!$B$6:$C$17,2,0)*PRECIOS!N474</f>
        <v>251.70205542082527</v>
      </c>
      <c r="P474" s="42" t="str">
        <f t="shared" si="22"/>
        <v>Si</v>
      </c>
      <c r="Q474" s="44">
        <f>+IF(I474=1,O474,IF(I474=2,O474/(1+MRI!$C$18),(O474/(1+MRI!$D$18))/(1+MRI!$C$18)))</f>
        <v>251.70205542082527</v>
      </c>
      <c r="R474" s="44">
        <f t="shared" si="23"/>
        <v>251.70205542082527</v>
      </c>
    </row>
    <row r="475" spans="1:18" x14ac:dyDescent="0.3">
      <c r="A475" s="55">
        <v>474</v>
      </c>
      <c r="B475" s="55" t="s">
        <v>38</v>
      </c>
      <c r="C475" s="55" t="s">
        <v>222</v>
      </c>
      <c r="D475" s="55" t="s">
        <v>182</v>
      </c>
      <c r="E475" s="55" t="s">
        <v>63</v>
      </c>
      <c r="F475" s="55" t="s">
        <v>106</v>
      </c>
      <c r="G475" s="55" t="s">
        <v>207</v>
      </c>
      <c r="H475" s="55" t="s">
        <v>20</v>
      </c>
      <c r="I475" s="55">
        <v>3</v>
      </c>
      <c r="J475" s="55" t="s">
        <v>40</v>
      </c>
      <c r="K475" s="56">
        <v>226.93</v>
      </c>
      <c r="L475" s="55">
        <v>2500</v>
      </c>
      <c r="M475" s="55" t="s">
        <v>186</v>
      </c>
      <c r="N475" s="57">
        <f t="shared" si="21"/>
        <v>9.0772000000000005E-2</v>
      </c>
      <c r="O475" s="57">
        <f>+VLOOKUP(J475,TC!$B$6:$C$17,2,0)*PRECIOS!N475</f>
        <v>415.40907226653007</v>
      </c>
      <c r="P475" s="55" t="str">
        <f t="shared" si="22"/>
        <v>No</v>
      </c>
      <c r="Q475" s="57">
        <f>+IF(I475=1,O475,IF(I475=2,O475/(1+MRI!$C$18),(O475/(1+MRI!$D$18))/(1+MRI!$C$18)))</f>
        <v>317.56762427180945</v>
      </c>
      <c r="R475" s="57" t="str">
        <f t="shared" si="23"/>
        <v/>
      </c>
    </row>
    <row r="476" spans="1:18" x14ac:dyDescent="0.3">
      <c r="A476" s="42">
        <v>475</v>
      </c>
      <c r="B476" s="42" t="s">
        <v>38</v>
      </c>
      <c r="C476" s="42" t="s">
        <v>222</v>
      </c>
      <c r="D476" s="42" t="s">
        <v>182</v>
      </c>
      <c r="E476" s="42" t="s">
        <v>63</v>
      </c>
      <c r="F476" s="42" t="s">
        <v>106</v>
      </c>
      <c r="G476" s="42" t="s">
        <v>207</v>
      </c>
      <c r="H476" s="42" t="s">
        <v>11</v>
      </c>
      <c r="I476" s="42">
        <v>1</v>
      </c>
      <c r="J476" s="42" t="s">
        <v>40</v>
      </c>
      <c r="K476" s="43">
        <v>137.5</v>
      </c>
      <c r="L476" s="42">
        <v>2500</v>
      </c>
      <c r="M476" s="42" t="s">
        <v>186</v>
      </c>
      <c r="N476" s="44">
        <f t="shared" si="21"/>
        <v>5.5E-2</v>
      </c>
      <c r="O476" s="44">
        <f>+VLOOKUP(J476,TC!$B$6:$C$17,2,0)*PRECIOS!N476</f>
        <v>251.70205542082527</v>
      </c>
      <c r="P476" s="42" t="str">
        <f t="shared" si="22"/>
        <v>Si</v>
      </c>
      <c r="Q476" s="44">
        <f>+IF(I476=1,O476,IF(I476=2,O476/(1+MRI!$C$18),(O476/(1+MRI!$D$18))/(1+MRI!$C$18)))</f>
        <v>251.70205542082527</v>
      </c>
      <c r="R476" s="44">
        <f t="shared" si="23"/>
        <v>251.70205542082527</v>
      </c>
    </row>
    <row r="477" spans="1:18" x14ac:dyDescent="0.3">
      <c r="A477" s="55">
        <v>476</v>
      </c>
      <c r="B477" s="55" t="s">
        <v>38</v>
      </c>
      <c r="C477" s="55" t="s">
        <v>222</v>
      </c>
      <c r="D477" s="55" t="s">
        <v>182</v>
      </c>
      <c r="E477" s="55" t="s">
        <v>65</v>
      </c>
      <c r="F477" s="55" t="s">
        <v>106</v>
      </c>
      <c r="G477" s="55" t="s">
        <v>207</v>
      </c>
      <c r="H477" s="55" t="s">
        <v>20</v>
      </c>
      <c r="I477" s="55">
        <v>3</v>
      </c>
      <c r="J477" s="55" t="s">
        <v>40</v>
      </c>
      <c r="K477" s="56">
        <v>453.86</v>
      </c>
      <c r="L477" s="55">
        <v>5000</v>
      </c>
      <c r="M477" s="55" t="s">
        <v>186</v>
      </c>
      <c r="N477" s="57">
        <f t="shared" si="21"/>
        <v>9.0772000000000005E-2</v>
      </c>
      <c r="O477" s="57">
        <f>+VLOOKUP(J477,TC!$B$6:$C$17,2,0)*PRECIOS!N477</f>
        <v>415.40907226653007</v>
      </c>
      <c r="P477" s="55" t="str">
        <f t="shared" si="22"/>
        <v>No</v>
      </c>
      <c r="Q477" s="57">
        <f>+IF(I477=1,O477,IF(I477=2,O477/(1+MRI!$C$18),(O477/(1+MRI!$D$18))/(1+MRI!$C$18)))</f>
        <v>317.56762427180945</v>
      </c>
      <c r="R477" s="57" t="str">
        <f t="shared" si="23"/>
        <v/>
      </c>
    </row>
    <row r="478" spans="1:18" x14ac:dyDescent="0.3">
      <c r="A478" s="42">
        <v>477</v>
      </c>
      <c r="B478" s="42" t="s">
        <v>38</v>
      </c>
      <c r="C478" s="42" t="s">
        <v>222</v>
      </c>
      <c r="D478" s="42" t="s">
        <v>182</v>
      </c>
      <c r="E478" s="42" t="s">
        <v>65</v>
      </c>
      <c r="F478" s="42" t="s">
        <v>106</v>
      </c>
      <c r="G478" s="42" t="s">
        <v>207</v>
      </c>
      <c r="H478" s="42" t="s">
        <v>11</v>
      </c>
      <c r="I478" s="42">
        <v>1</v>
      </c>
      <c r="J478" s="42" t="s">
        <v>40</v>
      </c>
      <c r="K478" s="43">
        <v>275</v>
      </c>
      <c r="L478" s="42">
        <v>5000</v>
      </c>
      <c r="M478" s="42" t="s">
        <v>186</v>
      </c>
      <c r="N478" s="44">
        <f t="shared" si="21"/>
        <v>5.5E-2</v>
      </c>
      <c r="O478" s="44">
        <f>+VLOOKUP(J478,TC!$B$6:$C$17,2,0)*PRECIOS!N478</f>
        <v>251.70205542082527</v>
      </c>
      <c r="P478" s="42" t="str">
        <f t="shared" si="22"/>
        <v>Si</v>
      </c>
      <c r="Q478" s="44">
        <f>+IF(I478=1,O478,IF(I478=2,O478/(1+MRI!$C$18),(O478/(1+MRI!$D$18))/(1+MRI!$C$18)))</f>
        <v>251.70205542082527</v>
      </c>
      <c r="R478" s="44">
        <f t="shared" si="23"/>
        <v>251.70205542082527</v>
      </c>
    </row>
    <row r="479" spans="1:18" x14ac:dyDescent="0.3">
      <c r="A479" s="55">
        <v>478</v>
      </c>
      <c r="B479" s="55" t="s">
        <v>38</v>
      </c>
      <c r="C479" s="55" t="s">
        <v>222</v>
      </c>
      <c r="D479" s="55" t="s">
        <v>182</v>
      </c>
      <c r="E479" s="55" t="s">
        <v>62</v>
      </c>
      <c r="F479" s="55" t="s">
        <v>106</v>
      </c>
      <c r="G479" s="55" t="s">
        <v>207</v>
      </c>
      <c r="H479" s="55" t="s">
        <v>20</v>
      </c>
      <c r="I479" s="55">
        <v>3</v>
      </c>
      <c r="J479" s="55" t="s">
        <v>40</v>
      </c>
      <c r="K479" s="56">
        <v>907.72</v>
      </c>
      <c r="L479" s="55">
        <v>10000</v>
      </c>
      <c r="M479" s="55" t="s">
        <v>186</v>
      </c>
      <c r="N479" s="57">
        <f t="shared" si="21"/>
        <v>9.0772000000000005E-2</v>
      </c>
      <c r="O479" s="57">
        <f>+VLOOKUP(J479,TC!$B$6:$C$17,2,0)*PRECIOS!N479</f>
        <v>415.40907226653007</v>
      </c>
      <c r="P479" s="55" t="str">
        <f t="shared" si="22"/>
        <v>No</v>
      </c>
      <c r="Q479" s="57">
        <f>+IF(I479=1,O479,IF(I479=2,O479/(1+MRI!$C$18),(O479/(1+MRI!$D$18))/(1+MRI!$C$18)))</f>
        <v>317.56762427180945</v>
      </c>
      <c r="R479" s="57" t="str">
        <f t="shared" si="23"/>
        <v/>
      </c>
    </row>
    <row r="480" spans="1:18" x14ac:dyDescent="0.3">
      <c r="A480" s="42">
        <v>479</v>
      </c>
      <c r="B480" s="42" t="s">
        <v>38</v>
      </c>
      <c r="C480" s="42" t="s">
        <v>222</v>
      </c>
      <c r="D480" s="42" t="s">
        <v>182</v>
      </c>
      <c r="E480" s="42" t="s">
        <v>62</v>
      </c>
      <c r="F480" s="42" t="s">
        <v>106</v>
      </c>
      <c r="G480" s="42" t="s">
        <v>207</v>
      </c>
      <c r="H480" s="42" t="s">
        <v>11</v>
      </c>
      <c r="I480" s="42">
        <v>1</v>
      </c>
      <c r="J480" s="42" t="s">
        <v>40</v>
      </c>
      <c r="K480" s="43">
        <v>550</v>
      </c>
      <c r="L480" s="42">
        <v>10000</v>
      </c>
      <c r="M480" s="42" t="s">
        <v>186</v>
      </c>
      <c r="N480" s="44">
        <f t="shared" si="21"/>
        <v>5.5E-2</v>
      </c>
      <c r="O480" s="44">
        <f>+VLOOKUP(J480,TC!$B$6:$C$17,2,0)*PRECIOS!N480</f>
        <v>251.70205542082527</v>
      </c>
      <c r="P480" s="42" t="str">
        <f t="shared" si="22"/>
        <v>Si</v>
      </c>
      <c r="Q480" s="44">
        <f>+IF(I480=1,O480,IF(I480=2,O480/(1+MRI!$C$18),(O480/(1+MRI!$D$18))/(1+MRI!$C$18)))</f>
        <v>251.70205542082527</v>
      </c>
      <c r="R480" s="44">
        <f t="shared" si="23"/>
        <v>251.70205542082527</v>
      </c>
    </row>
    <row r="481" spans="1:18" x14ac:dyDescent="0.3">
      <c r="A481" s="55">
        <v>480</v>
      </c>
      <c r="B481" s="55" t="s">
        <v>38</v>
      </c>
      <c r="C481" s="55" t="s">
        <v>222</v>
      </c>
      <c r="D481" s="55" t="s">
        <v>182</v>
      </c>
      <c r="E481" s="55" t="s">
        <v>61</v>
      </c>
      <c r="F481" s="55" t="s">
        <v>106</v>
      </c>
      <c r="G481" s="55" t="s">
        <v>207</v>
      </c>
      <c r="H481" s="55" t="s">
        <v>20</v>
      </c>
      <c r="I481" s="55">
        <v>3</v>
      </c>
      <c r="J481" s="55" t="s">
        <v>40</v>
      </c>
      <c r="K481" s="56">
        <v>1815.44</v>
      </c>
      <c r="L481" s="55">
        <v>20000</v>
      </c>
      <c r="M481" s="55" t="s">
        <v>186</v>
      </c>
      <c r="N481" s="57">
        <f t="shared" si="21"/>
        <v>9.0772000000000005E-2</v>
      </c>
      <c r="O481" s="57">
        <f>+VLOOKUP(J481,TC!$B$6:$C$17,2,0)*PRECIOS!N481</f>
        <v>415.40907226653007</v>
      </c>
      <c r="P481" s="55" t="str">
        <f t="shared" si="22"/>
        <v>No</v>
      </c>
      <c r="Q481" s="57">
        <f>+IF(I481=1,O481,IF(I481=2,O481/(1+MRI!$C$18),(O481/(1+MRI!$D$18))/(1+MRI!$C$18)))</f>
        <v>317.56762427180945</v>
      </c>
      <c r="R481" s="57" t="str">
        <f t="shared" si="23"/>
        <v/>
      </c>
    </row>
    <row r="482" spans="1:18" x14ac:dyDescent="0.3">
      <c r="A482" s="42">
        <v>481</v>
      </c>
      <c r="B482" s="42" t="s">
        <v>38</v>
      </c>
      <c r="C482" s="42" t="s">
        <v>222</v>
      </c>
      <c r="D482" s="42" t="s">
        <v>182</v>
      </c>
      <c r="E482" s="42" t="s">
        <v>61</v>
      </c>
      <c r="F482" s="42" t="s">
        <v>106</v>
      </c>
      <c r="G482" s="42" t="s">
        <v>207</v>
      </c>
      <c r="H482" s="42" t="s">
        <v>11</v>
      </c>
      <c r="I482" s="42">
        <v>1</v>
      </c>
      <c r="J482" s="42" t="s">
        <v>40</v>
      </c>
      <c r="K482" s="43">
        <v>1100</v>
      </c>
      <c r="L482" s="42">
        <v>20000</v>
      </c>
      <c r="M482" s="42" t="s">
        <v>186</v>
      </c>
      <c r="N482" s="44">
        <f t="shared" si="21"/>
        <v>5.5E-2</v>
      </c>
      <c r="O482" s="44">
        <f>+VLOOKUP(J482,TC!$B$6:$C$17,2,0)*PRECIOS!N482</f>
        <v>251.70205542082527</v>
      </c>
      <c r="P482" s="42" t="str">
        <f t="shared" si="22"/>
        <v>Si</v>
      </c>
      <c r="Q482" s="44">
        <f>+IF(I482=1,O482,IF(I482=2,O482/(1+MRI!$C$18),(O482/(1+MRI!$D$18))/(1+MRI!$C$18)))</f>
        <v>251.70205542082527</v>
      </c>
      <c r="R482" s="44">
        <f t="shared" si="23"/>
        <v>251.70205542082527</v>
      </c>
    </row>
    <row r="483" spans="1:18" x14ac:dyDescent="0.3">
      <c r="A483" s="55">
        <v>482</v>
      </c>
      <c r="B483" s="55" t="s">
        <v>38</v>
      </c>
      <c r="C483" s="55" t="s">
        <v>222</v>
      </c>
      <c r="D483" s="55" t="s">
        <v>182</v>
      </c>
      <c r="E483" s="55" t="s">
        <v>56</v>
      </c>
      <c r="F483" s="55" t="s">
        <v>106</v>
      </c>
      <c r="G483" s="55" t="s">
        <v>207</v>
      </c>
      <c r="H483" s="55" t="s">
        <v>20</v>
      </c>
      <c r="I483" s="55">
        <v>3</v>
      </c>
      <c r="J483" s="55" t="s">
        <v>40</v>
      </c>
      <c r="K483" s="56">
        <v>226.93</v>
      </c>
      <c r="L483" s="55">
        <v>2500</v>
      </c>
      <c r="M483" s="55" t="s">
        <v>186</v>
      </c>
      <c r="N483" s="57">
        <f t="shared" si="21"/>
        <v>9.0772000000000005E-2</v>
      </c>
      <c r="O483" s="57">
        <f>+VLOOKUP(J483,TC!$B$6:$C$17,2,0)*PRECIOS!N483</f>
        <v>415.40907226653007</v>
      </c>
      <c r="P483" s="55" t="str">
        <f t="shared" si="22"/>
        <v>No</v>
      </c>
      <c r="Q483" s="57">
        <f>+IF(I483=1,O483,IF(I483=2,O483/(1+MRI!$C$18),(O483/(1+MRI!$D$18))/(1+MRI!$C$18)))</f>
        <v>317.56762427180945</v>
      </c>
      <c r="R483" s="57" t="str">
        <f t="shared" si="23"/>
        <v/>
      </c>
    </row>
    <row r="484" spans="1:18" x14ac:dyDescent="0.3">
      <c r="A484" s="42">
        <v>483</v>
      </c>
      <c r="B484" s="42" t="s">
        <v>38</v>
      </c>
      <c r="C484" s="42" t="s">
        <v>222</v>
      </c>
      <c r="D484" s="42" t="s">
        <v>182</v>
      </c>
      <c r="E484" s="42" t="s">
        <v>56</v>
      </c>
      <c r="F484" s="42" t="s">
        <v>106</v>
      </c>
      <c r="G484" s="42" t="s">
        <v>207</v>
      </c>
      <c r="H484" s="42" t="s">
        <v>11</v>
      </c>
      <c r="I484" s="42">
        <v>1</v>
      </c>
      <c r="J484" s="42" t="s">
        <v>40</v>
      </c>
      <c r="K484" s="43">
        <v>137.5</v>
      </c>
      <c r="L484" s="42">
        <v>2500</v>
      </c>
      <c r="M484" s="42" t="s">
        <v>186</v>
      </c>
      <c r="N484" s="44">
        <f t="shared" si="21"/>
        <v>5.5E-2</v>
      </c>
      <c r="O484" s="44">
        <f>+VLOOKUP(J484,TC!$B$6:$C$17,2,0)*PRECIOS!N484</f>
        <v>251.70205542082527</v>
      </c>
      <c r="P484" s="42" t="str">
        <f t="shared" si="22"/>
        <v>Si</v>
      </c>
      <c r="Q484" s="44">
        <f>+IF(I484=1,O484,IF(I484=2,O484/(1+MRI!$C$18),(O484/(1+MRI!$D$18))/(1+MRI!$C$18)))</f>
        <v>251.70205542082527</v>
      </c>
      <c r="R484" s="44">
        <f t="shared" si="23"/>
        <v>251.70205542082527</v>
      </c>
    </row>
    <row r="485" spans="1:18" x14ac:dyDescent="0.3">
      <c r="A485" s="55">
        <v>484</v>
      </c>
      <c r="B485" s="55" t="s">
        <v>38</v>
      </c>
      <c r="C485" s="55" t="s">
        <v>222</v>
      </c>
      <c r="D485" s="55" t="s">
        <v>182</v>
      </c>
      <c r="E485" s="55" t="s">
        <v>57</v>
      </c>
      <c r="F485" s="55" t="s">
        <v>106</v>
      </c>
      <c r="G485" s="55" t="s">
        <v>207</v>
      </c>
      <c r="H485" s="55" t="s">
        <v>20</v>
      </c>
      <c r="I485" s="55">
        <v>3</v>
      </c>
      <c r="J485" s="55" t="s">
        <v>40</v>
      </c>
      <c r="K485" s="56">
        <v>453.86</v>
      </c>
      <c r="L485" s="55">
        <v>5000</v>
      </c>
      <c r="M485" s="55" t="s">
        <v>186</v>
      </c>
      <c r="N485" s="57">
        <f t="shared" si="21"/>
        <v>9.0772000000000005E-2</v>
      </c>
      <c r="O485" s="57">
        <f>+VLOOKUP(J485,TC!$B$6:$C$17,2,0)*PRECIOS!N485</f>
        <v>415.40907226653007</v>
      </c>
      <c r="P485" s="55" t="str">
        <f t="shared" si="22"/>
        <v>No</v>
      </c>
      <c r="Q485" s="57">
        <f>+IF(I485=1,O485,IF(I485=2,O485/(1+MRI!$C$18),(O485/(1+MRI!$D$18))/(1+MRI!$C$18)))</f>
        <v>317.56762427180945</v>
      </c>
      <c r="R485" s="57" t="str">
        <f t="shared" si="23"/>
        <v/>
      </c>
    </row>
    <row r="486" spans="1:18" x14ac:dyDescent="0.3">
      <c r="A486" s="42">
        <v>485</v>
      </c>
      <c r="B486" s="42" t="s">
        <v>38</v>
      </c>
      <c r="C486" s="42" t="s">
        <v>222</v>
      </c>
      <c r="D486" s="42" t="s">
        <v>182</v>
      </c>
      <c r="E486" s="42" t="s">
        <v>57</v>
      </c>
      <c r="F486" s="42" t="s">
        <v>106</v>
      </c>
      <c r="G486" s="42" t="s">
        <v>207</v>
      </c>
      <c r="H486" s="42" t="s">
        <v>11</v>
      </c>
      <c r="I486" s="42">
        <v>1</v>
      </c>
      <c r="J486" s="42" t="s">
        <v>40</v>
      </c>
      <c r="K486" s="43">
        <v>275</v>
      </c>
      <c r="L486" s="42">
        <v>5000</v>
      </c>
      <c r="M486" s="42" t="s">
        <v>186</v>
      </c>
      <c r="N486" s="44">
        <f t="shared" si="21"/>
        <v>5.5E-2</v>
      </c>
      <c r="O486" s="44">
        <f>+VLOOKUP(J486,TC!$B$6:$C$17,2,0)*PRECIOS!N486</f>
        <v>251.70205542082527</v>
      </c>
      <c r="P486" s="42" t="str">
        <f t="shared" si="22"/>
        <v>Si</v>
      </c>
      <c r="Q486" s="44">
        <f>+IF(I486=1,O486,IF(I486=2,O486/(1+MRI!$C$18),(O486/(1+MRI!$D$18))/(1+MRI!$C$18)))</f>
        <v>251.70205542082527</v>
      </c>
      <c r="R486" s="44">
        <f t="shared" si="23"/>
        <v>251.70205542082527</v>
      </c>
    </row>
    <row r="487" spans="1:18" x14ac:dyDescent="0.3">
      <c r="A487" s="55">
        <v>486</v>
      </c>
      <c r="B487" s="55" t="s">
        <v>38</v>
      </c>
      <c r="C487" s="55" t="s">
        <v>234</v>
      </c>
      <c r="D487" s="55" t="s">
        <v>182</v>
      </c>
      <c r="E487" s="55" t="s">
        <v>50</v>
      </c>
      <c r="F487" s="55" t="s">
        <v>18</v>
      </c>
      <c r="G487" s="55" t="s">
        <v>19</v>
      </c>
      <c r="H487" s="55" t="s">
        <v>20</v>
      </c>
      <c r="I487" s="55">
        <v>3</v>
      </c>
      <c r="J487" s="55" t="s">
        <v>21</v>
      </c>
      <c r="K487" s="56">
        <v>8404.2000000000007</v>
      </c>
      <c r="L487" s="55">
        <v>10000</v>
      </c>
      <c r="M487" s="55" t="s">
        <v>186</v>
      </c>
      <c r="N487" s="57">
        <f t="shared" si="21"/>
        <v>0.84042000000000006</v>
      </c>
      <c r="O487" s="57">
        <f>+VLOOKUP(J487,TC!$B$6:$C$17,2,0)*PRECIOS!N487</f>
        <v>359.01217074062515</v>
      </c>
      <c r="P487" s="55" t="str">
        <f t="shared" si="22"/>
        <v>No</v>
      </c>
      <c r="Q487" s="57">
        <f>+IF(I487=1,O487,IF(I487=2,O487/(1+MRI!$C$18),(O487/(1+MRI!$D$18))/(1+MRI!$C$18)))</f>
        <v>274.45390521855364</v>
      </c>
      <c r="R487" s="57" t="str">
        <f t="shared" si="23"/>
        <v/>
      </c>
    </row>
    <row r="488" spans="1:18" x14ac:dyDescent="0.3">
      <c r="A488" s="42">
        <v>487</v>
      </c>
      <c r="B488" s="42" t="s">
        <v>38</v>
      </c>
      <c r="C488" s="42" t="s">
        <v>234</v>
      </c>
      <c r="D488" s="42" t="s">
        <v>182</v>
      </c>
      <c r="E488" s="42" t="s">
        <v>50</v>
      </c>
      <c r="F488" s="42" t="s">
        <v>18</v>
      </c>
      <c r="G488" s="42" t="s">
        <v>19</v>
      </c>
      <c r="H488" s="42" t="s">
        <v>22</v>
      </c>
      <c r="I488" s="42">
        <v>2</v>
      </c>
      <c r="J488" s="42" t="s">
        <v>21</v>
      </c>
      <c r="K488" s="43">
        <v>6563.12</v>
      </c>
      <c r="L488" s="42">
        <v>10000</v>
      </c>
      <c r="M488" s="42" t="s">
        <v>186</v>
      </c>
      <c r="N488" s="44">
        <f t="shared" si="21"/>
        <v>0.65631200000000001</v>
      </c>
      <c r="O488" s="44">
        <f>+VLOOKUP(J488,TC!$B$6:$C$17,2,0)*PRECIOS!N488</f>
        <v>280.36457462116698</v>
      </c>
      <c r="P488" s="42" t="str">
        <f t="shared" si="22"/>
        <v>Si</v>
      </c>
      <c r="Q488" s="44">
        <f>+IF(I488=1,O488,IF(I488=2,O488/(1+MRI!$C$18),(O488/(1+MRI!$D$18))/(1+MRI!$C$18)))</f>
        <v>255.87946829958014</v>
      </c>
      <c r="R488" s="44">
        <f t="shared" si="23"/>
        <v>255.87946829958014</v>
      </c>
    </row>
    <row r="489" spans="1:18" x14ac:dyDescent="0.3">
      <c r="A489" s="55">
        <v>488</v>
      </c>
      <c r="B489" s="55" t="s">
        <v>38</v>
      </c>
      <c r="C489" s="55" t="s">
        <v>234</v>
      </c>
      <c r="D489" s="55" t="s">
        <v>182</v>
      </c>
      <c r="E489" s="55" t="s">
        <v>46</v>
      </c>
      <c r="F489" s="55" t="s">
        <v>18</v>
      </c>
      <c r="G489" s="55" t="s">
        <v>19</v>
      </c>
      <c r="H489" s="55" t="s">
        <v>20</v>
      </c>
      <c r="I489" s="55">
        <v>3</v>
      </c>
      <c r="J489" s="55" t="s">
        <v>21</v>
      </c>
      <c r="K489" s="56">
        <v>8404.2000000000007</v>
      </c>
      <c r="L489" s="55">
        <v>10000</v>
      </c>
      <c r="M489" s="55" t="s">
        <v>186</v>
      </c>
      <c r="N489" s="57">
        <f t="shared" si="21"/>
        <v>0.84042000000000006</v>
      </c>
      <c r="O489" s="57">
        <f>+VLOOKUP(J489,TC!$B$6:$C$17,2,0)*PRECIOS!N489</f>
        <v>359.01217074062515</v>
      </c>
      <c r="P489" s="55" t="str">
        <f t="shared" si="22"/>
        <v>No</v>
      </c>
      <c r="Q489" s="57">
        <f>+IF(I489=1,O489,IF(I489=2,O489/(1+MRI!$C$18),(O489/(1+MRI!$D$18))/(1+MRI!$C$18)))</f>
        <v>274.45390521855364</v>
      </c>
      <c r="R489" s="57" t="str">
        <f t="shared" si="23"/>
        <v/>
      </c>
    </row>
    <row r="490" spans="1:18" x14ac:dyDescent="0.3">
      <c r="A490" s="42">
        <v>489</v>
      </c>
      <c r="B490" s="42" t="s">
        <v>38</v>
      </c>
      <c r="C490" s="42" t="s">
        <v>234</v>
      </c>
      <c r="D490" s="42" t="s">
        <v>182</v>
      </c>
      <c r="E490" s="42" t="s">
        <v>46</v>
      </c>
      <c r="F490" s="42" t="s">
        <v>18</v>
      </c>
      <c r="G490" s="42" t="s">
        <v>19</v>
      </c>
      <c r="H490" s="42" t="s">
        <v>22</v>
      </c>
      <c r="I490" s="42">
        <v>2</v>
      </c>
      <c r="J490" s="42" t="s">
        <v>21</v>
      </c>
      <c r="K490" s="43">
        <v>6563.12</v>
      </c>
      <c r="L490" s="42">
        <v>10000</v>
      </c>
      <c r="M490" s="42" t="s">
        <v>186</v>
      </c>
      <c r="N490" s="44">
        <f t="shared" si="21"/>
        <v>0.65631200000000001</v>
      </c>
      <c r="O490" s="44">
        <f>+VLOOKUP(J490,TC!$B$6:$C$17,2,0)*PRECIOS!N490</f>
        <v>280.36457462116698</v>
      </c>
      <c r="P490" s="42" t="str">
        <f t="shared" si="22"/>
        <v>Si</v>
      </c>
      <c r="Q490" s="44">
        <f>+IF(I490=1,O490,IF(I490=2,O490/(1+MRI!$C$18),(O490/(1+MRI!$D$18))/(1+MRI!$C$18)))</f>
        <v>255.87946829958014</v>
      </c>
      <c r="R490" s="44">
        <f t="shared" si="23"/>
        <v>255.87946829958014</v>
      </c>
    </row>
    <row r="491" spans="1:18" x14ac:dyDescent="0.3">
      <c r="A491" s="55">
        <v>490</v>
      </c>
      <c r="B491" s="55" t="s">
        <v>38</v>
      </c>
      <c r="C491" s="55" t="s">
        <v>234</v>
      </c>
      <c r="D491" s="55" t="s">
        <v>182</v>
      </c>
      <c r="E491" s="55" t="s">
        <v>47</v>
      </c>
      <c r="F491" s="55" t="s">
        <v>18</v>
      </c>
      <c r="G491" s="55" t="s">
        <v>19</v>
      </c>
      <c r="H491" s="55" t="s">
        <v>20</v>
      </c>
      <c r="I491" s="55">
        <v>3</v>
      </c>
      <c r="J491" s="55" t="s">
        <v>21</v>
      </c>
      <c r="K491" s="56">
        <v>16772.2</v>
      </c>
      <c r="L491" s="55">
        <v>20000</v>
      </c>
      <c r="M491" s="55" t="s">
        <v>186</v>
      </c>
      <c r="N491" s="57">
        <f t="shared" si="21"/>
        <v>0.83861000000000008</v>
      </c>
      <c r="O491" s="57">
        <f>+VLOOKUP(J491,TC!$B$6:$C$17,2,0)*PRECIOS!N491</f>
        <v>358.23897159134202</v>
      </c>
      <c r="P491" s="55" t="str">
        <f t="shared" si="22"/>
        <v>No</v>
      </c>
      <c r="Q491" s="57">
        <f>+IF(I491=1,O491,IF(I491=2,O491/(1+MRI!$C$18),(O491/(1+MRI!$D$18))/(1+MRI!$C$18)))</f>
        <v>273.86281794261356</v>
      </c>
      <c r="R491" s="57" t="str">
        <f t="shared" si="23"/>
        <v/>
      </c>
    </row>
    <row r="492" spans="1:18" x14ac:dyDescent="0.3">
      <c r="A492" s="42">
        <v>491</v>
      </c>
      <c r="B492" s="42" t="s">
        <v>38</v>
      </c>
      <c r="C492" s="42" t="s">
        <v>234</v>
      </c>
      <c r="D492" s="42" t="s">
        <v>182</v>
      </c>
      <c r="E492" s="42" t="s">
        <v>47</v>
      </c>
      <c r="F492" s="42" t="s">
        <v>18</v>
      </c>
      <c r="G492" s="42" t="s">
        <v>19</v>
      </c>
      <c r="H492" s="42" t="s">
        <v>22</v>
      </c>
      <c r="I492" s="42">
        <v>2</v>
      </c>
      <c r="J492" s="42" t="s">
        <v>21</v>
      </c>
      <c r="K492" s="43">
        <v>13126.24</v>
      </c>
      <c r="L492" s="42">
        <v>20000</v>
      </c>
      <c r="M492" s="42" t="s">
        <v>186</v>
      </c>
      <c r="N492" s="44">
        <f t="shared" si="21"/>
        <v>0.65631200000000001</v>
      </c>
      <c r="O492" s="44">
        <f>+VLOOKUP(J492,TC!$B$6:$C$17,2,0)*PRECIOS!N492</f>
        <v>280.36457462116698</v>
      </c>
      <c r="P492" s="42" t="str">
        <f t="shared" si="22"/>
        <v>Si</v>
      </c>
      <c r="Q492" s="44">
        <f>+IF(I492=1,O492,IF(I492=2,O492/(1+MRI!$C$18),(O492/(1+MRI!$D$18))/(1+MRI!$C$18)))</f>
        <v>255.87946829958014</v>
      </c>
      <c r="R492" s="44">
        <f t="shared" si="23"/>
        <v>255.87946829958014</v>
      </c>
    </row>
    <row r="493" spans="1:18" x14ac:dyDescent="0.3">
      <c r="A493" s="55">
        <v>492</v>
      </c>
      <c r="B493" s="55" t="s">
        <v>38</v>
      </c>
      <c r="C493" s="55" t="s">
        <v>234</v>
      </c>
      <c r="D493" s="55" t="s">
        <v>182</v>
      </c>
      <c r="E493" s="55" t="s">
        <v>44</v>
      </c>
      <c r="F493" s="55" t="s">
        <v>18</v>
      </c>
      <c r="G493" s="55" t="s">
        <v>19</v>
      </c>
      <c r="H493" s="55" t="s">
        <v>20</v>
      </c>
      <c r="I493" s="55">
        <v>3</v>
      </c>
      <c r="J493" s="55" t="s">
        <v>21</v>
      </c>
      <c r="K493" s="56">
        <v>16772.2</v>
      </c>
      <c r="L493" s="55">
        <v>20000</v>
      </c>
      <c r="M493" s="55" t="s">
        <v>186</v>
      </c>
      <c r="N493" s="57">
        <f t="shared" si="21"/>
        <v>0.83861000000000008</v>
      </c>
      <c r="O493" s="57">
        <f>+VLOOKUP(J493,TC!$B$6:$C$17,2,0)*PRECIOS!N493</f>
        <v>358.23897159134202</v>
      </c>
      <c r="P493" s="55" t="str">
        <f t="shared" si="22"/>
        <v>No</v>
      </c>
      <c r="Q493" s="57">
        <f>+IF(I493=1,O493,IF(I493=2,O493/(1+MRI!$C$18),(O493/(1+MRI!$D$18))/(1+MRI!$C$18)))</f>
        <v>273.86281794261356</v>
      </c>
      <c r="R493" s="57" t="str">
        <f t="shared" si="23"/>
        <v/>
      </c>
    </row>
    <row r="494" spans="1:18" x14ac:dyDescent="0.3">
      <c r="A494" s="42">
        <v>493</v>
      </c>
      <c r="B494" s="42" t="s">
        <v>38</v>
      </c>
      <c r="C494" s="42" t="s">
        <v>234</v>
      </c>
      <c r="D494" s="42" t="s">
        <v>182</v>
      </c>
      <c r="E494" s="42" t="s">
        <v>44</v>
      </c>
      <c r="F494" s="42" t="s">
        <v>18</v>
      </c>
      <c r="G494" s="42" t="s">
        <v>19</v>
      </c>
      <c r="H494" s="42" t="s">
        <v>22</v>
      </c>
      <c r="I494" s="42">
        <v>2</v>
      </c>
      <c r="J494" s="42" t="s">
        <v>21</v>
      </c>
      <c r="K494" s="43">
        <v>13126.24</v>
      </c>
      <c r="L494" s="42">
        <v>20000</v>
      </c>
      <c r="M494" s="42" t="s">
        <v>186</v>
      </c>
      <c r="N494" s="44">
        <f t="shared" si="21"/>
        <v>0.65631200000000001</v>
      </c>
      <c r="O494" s="44">
        <f>+VLOOKUP(J494,TC!$B$6:$C$17,2,0)*PRECIOS!N494</f>
        <v>280.36457462116698</v>
      </c>
      <c r="P494" s="42" t="str">
        <f t="shared" si="22"/>
        <v>Si</v>
      </c>
      <c r="Q494" s="44">
        <f>+IF(I494=1,O494,IF(I494=2,O494/(1+MRI!$C$18),(O494/(1+MRI!$D$18))/(1+MRI!$C$18)))</f>
        <v>255.87946829958014</v>
      </c>
      <c r="R494" s="44">
        <f t="shared" si="23"/>
        <v>255.87946829958014</v>
      </c>
    </row>
    <row r="495" spans="1:18" x14ac:dyDescent="0.3">
      <c r="A495" s="55">
        <v>494</v>
      </c>
      <c r="B495" s="55" t="s">
        <v>38</v>
      </c>
      <c r="C495" s="55" t="s">
        <v>234</v>
      </c>
      <c r="D495" s="55" t="s">
        <v>182</v>
      </c>
      <c r="E495" s="55" t="s">
        <v>45</v>
      </c>
      <c r="F495" s="55" t="s">
        <v>18</v>
      </c>
      <c r="G495" s="55" t="s">
        <v>19</v>
      </c>
      <c r="H495" s="55" t="s">
        <v>20</v>
      </c>
      <c r="I495" s="55">
        <v>3</v>
      </c>
      <c r="J495" s="55" t="s">
        <v>21</v>
      </c>
      <c r="K495" s="56">
        <v>2128.1999999999998</v>
      </c>
      <c r="L495" s="55">
        <v>2500</v>
      </c>
      <c r="M495" s="55" t="s">
        <v>186</v>
      </c>
      <c r="N495" s="57">
        <f t="shared" si="21"/>
        <v>0.85127999999999993</v>
      </c>
      <c r="O495" s="57">
        <f>+VLOOKUP(J495,TC!$B$6:$C$17,2,0)*PRECIOS!N495</f>
        <v>363.65136563632393</v>
      </c>
      <c r="P495" s="55" t="str">
        <f t="shared" si="22"/>
        <v>No</v>
      </c>
      <c r="Q495" s="57">
        <f>+IF(I495=1,O495,IF(I495=2,O495/(1+MRI!$C$18),(O495/(1+MRI!$D$18))/(1+MRI!$C$18)))</f>
        <v>278.00042887419426</v>
      </c>
      <c r="R495" s="57" t="str">
        <f t="shared" si="23"/>
        <v/>
      </c>
    </row>
    <row r="496" spans="1:18" x14ac:dyDescent="0.3">
      <c r="A496" s="42">
        <v>495</v>
      </c>
      <c r="B496" s="42" t="s">
        <v>38</v>
      </c>
      <c r="C496" s="42" t="s">
        <v>234</v>
      </c>
      <c r="D496" s="42" t="s">
        <v>182</v>
      </c>
      <c r="E496" s="42" t="s">
        <v>45</v>
      </c>
      <c r="F496" s="42" t="s">
        <v>18</v>
      </c>
      <c r="G496" s="42" t="s">
        <v>19</v>
      </c>
      <c r="H496" s="42" t="s">
        <v>22</v>
      </c>
      <c r="I496" s="42">
        <v>2</v>
      </c>
      <c r="J496" s="42" t="s">
        <v>21</v>
      </c>
      <c r="K496" s="43">
        <v>1640.78</v>
      </c>
      <c r="L496" s="42">
        <v>2500</v>
      </c>
      <c r="M496" s="42" t="s">
        <v>186</v>
      </c>
      <c r="N496" s="44">
        <f t="shared" si="21"/>
        <v>0.65631200000000001</v>
      </c>
      <c r="O496" s="44">
        <f>+VLOOKUP(J496,TC!$B$6:$C$17,2,0)*PRECIOS!N496</f>
        <v>280.36457462116698</v>
      </c>
      <c r="P496" s="42" t="str">
        <f t="shared" si="22"/>
        <v>Si</v>
      </c>
      <c r="Q496" s="44">
        <f>+IF(I496=1,O496,IF(I496=2,O496/(1+MRI!$C$18),(O496/(1+MRI!$D$18))/(1+MRI!$C$18)))</f>
        <v>255.87946829958014</v>
      </c>
      <c r="R496" s="44">
        <f t="shared" si="23"/>
        <v>255.87946829958014</v>
      </c>
    </row>
    <row r="497" spans="1:18" x14ac:dyDescent="0.3">
      <c r="A497" s="55">
        <v>496</v>
      </c>
      <c r="B497" s="55" t="s">
        <v>38</v>
      </c>
      <c r="C497" s="55" t="s">
        <v>234</v>
      </c>
      <c r="D497" s="55" t="s">
        <v>182</v>
      </c>
      <c r="E497" s="55" t="s">
        <v>52</v>
      </c>
      <c r="F497" s="55" t="s">
        <v>18</v>
      </c>
      <c r="G497" s="55" t="s">
        <v>19</v>
      </c>
      <c r="H497" s="55" t="s">
        <v>20</v>
      </c>
      <c r="I497" s="55">
        <v>3</v>
      </c>
      <c r="J497" s="55" t="s">
        <v>21</v>
      </c>
      <c r="K497" s="56">
        <v>4220.2</v>
      </c>
      <c r="L497" s="55">
        <v>5000</v>
      </c>
      <c r="M497" s="55" t="s">
        <v>186</v>
      </c>
      <c r="N497" s="57">
        <f t="shared" si="21"/>
        <v>0.84404000000000001</v>
      </c>
      <c r="O497" s="57">
        <f>+VLOOKUP(J497,TC!$B$6:$C$17,2,0)*PRECIOS!N497</f>
        <v>360.55856903919141</v>
      </c>
      <c r="P497" s="55" t="str">
        <f t="shared" si="22"/>
        <v>No</v>
      </c>
      <c r="Q497" s="57">
        <f>+IF(I497=1,O497,IF(I497=2,O497/(1+MRI!$C$18),(O497/(1+MRI!$D$18))/(1+MRI!$C$18)))</f>
        <v>275.63607977043387</v>
      </c>
      <c r="R497" s="57" t="str">
        <f t="shared" si="23"/>
        <v/>
      </c>
    </row>
    <row r="498" spans="1:18" x14ac:dyDescent="0.3">
      <c r="A498" s="42">
        <v>497</v>
      </c>
      <c r="B498" s="42" t="s">
        <v>38</v>
      </c>
      <c r="C498" s="42" t="s">
        <v>234</v>
      </c>
      <c r="D498" s="42" t="s">
        <v>182</v>
      </c>
      <c r="E498" s="42" t="s">
        <v>52</v>
      </c>
      <c r="F498" s="42" t="s">
        <v>18</v>
      </c>
      <c r="G498" s="42" t="s">
        <v>19</v>
      </c>
      <c r="H498" s="42" t="s">
        <v>22</v>
      </c>
      <c r="I498" s="42">
        <v>2</v>
      </c>
      <c r="J498" s="42" t="s">
        <v>21</v>
      </c>
      <c r="K498" s="43">
        <v>3281.56</v>
      </c>
      <c r="L498" s="42">
        <v>5000</v>
      </c>
      <c r="M498" s="42" t="s">
        <v>186</v>
      </c>
      <c r="N498" s="44">
        <f t="shared" si="21"/>
        <v>0.65631200000000001</v>
      </c>
      <c r="O498" s="44">
        <f>+VLOOKUP(J498,TC!$B$6:$C$17,2,0)*PRECIOS!N498</f>
        <v>280.36457462116698</v>
      </c>
      <c r="P498" s="42" t="str">
        <f t="shared" si="22"/>
        <v>Si</v>
      </c>
      <c r="Q498" s="44">
        <f>+IF(I498=1,O498,IF(I498=2,O498/(1+MRI!$C$18),(O498/(1+MRI!$D$18))/(1+MRI!$C$18)))</f>
        <v>255.87946829958014</v>
      </c>
      <c r="R498" s="44">
        <f t="shared" si="23"/>
        <v>255.87946829958014</v>
      </c>
    </row>
    <row r="499" spans="1:18" x14ac:dyDescent="0.3">
      <c r="A499" s="55">
        <v>498</v>
      </c>
      <c r="B499" s="55" t="s">
        <v>38</v>
      </c>
      <c r="C499" s="55" t="s">
        <v>234</v>
      </c>
      <c r="D499" s="55" t="s">
        <v>182</v>
      </c>
      <c r="E499" s="55" t="s">
        <v>49</v>
      </c>
      <c r="F499" s="55" t="s">
        <v>18</v>
      </c>
      <c r="G499" s="55" t="s">
        <v>19</v>
      </c>
      <c r="H499" s="55" t="s">
        <v>20</v>
      </c>
      <c r="I499" s="55">
        <v>3</v>
      </c>
      <c r="J499" s="55" t="s">
        <v>21</v>
      </c>
      <c r="K499" s="56">
        <v>4220.2</v>
      </c>
      <c r="L499" s="55">
        <v>5000</v>
      </c>
      <c r="M499" s="55" t="s">
        <v>186</v>
      </c>
      <c r="N499" s="57">
        <f t="shared" si="21"/>
        <v>0.84404000000000001</v>
      </c>
      <c r="O499" s="57">
        <f>+VLOOKUP(J499,TC!$B$6:$C$17,2,0)*PRECIOS!N499</f>
        <v>360.55856903919141</v>
      </c>
      <c r="P499" s="55" t="str">
        <f t="shared" si="22"/>
        <v>No</v>
      </c>
      <c r="Q499" s="57">
        <f>+IF(I499=1,O499,IF(I499=2,O499/(1+MRI!$C$18),(O499/(1+MRI!$D$18))/(1+MRI!$C$18)))</f>
        <v>275.63607977043387</v>
      </c>
      <c r="R499" s="57" t="str">
        <f t="shared" si="23"/>
        <v/>
      </c>
    </row>
    <row r="500" spans="1:18" x14ac:dyDescent="0.3">
      <c r="A500" s="42">
        <v>499</v>
      </c>
      <c r="B500" s="42" t="s">
        <v>38</v>
      </c>
      <c r="C500" s="42" t="s">
        <v>234</v>
      </c>
      <c r="D500" s="42" t="s">
        <v>182</v>
      </c>
      <c r="E500" s="42" t="s">
        <v>49</v>
      </c>
      <c r="F500" s="42" t="s">
        <v>18</v>
      </c>
      <c r="G500" s="42" t="s">
        <v>19</v>
      </c>
      <c r="H500" s="42" t="s">
        <v>22</v>
      </c>
      <c r="I500" s="42">
        <v>2</v>
      </c>
      <c r="J500" s="42" t="s">
        <v>21</v>
      </c>
      <c r="K500" s="43">
        <v>3281.56</v>
      </c>
      <c r="L500" s="42">
        <v>5000</v>
      </c>
      <c r="M500" s="42" t="s">
        <v>186</v>
      </c>
      <c r="N500" s="44">
        <f t="shared" si="21"/>
        <v>0.65631200000000001</v>
      </c>
      <c r="O500" s="44">
        <f>+VLOOKUP(J500,TC!$B$6:$C$17,2,0)*PRECIOS!N500</f>
        <v>280.36457462116698</v>
      </c>
      <c r="P500" s="42" t="str">
        <f t="shared" si="22"/>
        <v>Si</v>
      </c>
      <c r="Q500" s="44">
        <f>+IF(I500=1,O500,IF(I500=2,O500/(1+MRI!$C$18),(O500/(1+MRI!$D$18))/(1+MRI!$C$18)))</f>
        <v>255.87946829958014</v>
      </c>
      <c r="R500" s="44">
        <f t="shared" si="23"/>
        <v>255.87946829958014</v>
      </c>
    </row>
    <row r="501" spans="1:18" x14ac:dyDescent="0.3">
      <c r="A501" s="55">
        <v>500</v>
      </c>
      <c r="B501" s="55" t="s">
        <v>38</v>
      </c>
      <c r="C501" s="55" t="s">
        <v>234</v>
      </c>
      <c r="D501" s="55" t="s">
        <v>182</v>
      </c>
      <c r="E501" s="55" t="s">
        <v>77</v>
      </c>
      <c r="F501" s="55" t="s">
        <v>18</v>
      </c>
      <c r="G501" s="55" t="s">
        <v>19</v>
      </c>
      <c r="H501" s="55" t="s">
        <v>20</v>
      </c>
      <c r="I501" s="55">
        <v>3</v>
      </c>
      <c r="J501" s="55" t="s">
        <v>21</v>
      </c>
      <c r="K501" s="56">
        <v>14579.2</v>
      </c>
      <c r="L501" s="55">
        <v>20000</v>
      </c>
      <c r="M501" s="55" t="s">
        <v>186</v>
      </c>
      <c r="N501" s="57">
        <f t="shared" si="21"/>
        <v>0.72896000000000005</v>
      </c>
      <c r="O501" s="57">
        <f>+VLOOKUP(J501,TC!$B$6:$C$17,2,0)*PRECIOS!N501</f>
        <v>311.3984816913997</v>
      </c>
      <c r="P501" s="55" t="str">
        <f t="shared" si="22"/>
        <v>No</v>
      </c>
      <c r="Q501" s="57">
        <f>+IF(I501=1,O501,IF(I501=2,O501/(1+MRI!$C$18),(O501/(1+MRI!$D$18))/(1+MRI!$C$18)))</f>
        <v>238.05468545265089</v>
      </c>
      <c r="R501" s="57" t="str">
        <f t="shared" si="23"/>
        <v/>
      </c>
    </row>
    <row r="502" spans="1:18" x14ac:dyDescent="0.3">
      <c r="A502" s="42">
        <v>501</v>
      </c>
      <c r="B502" s="42" t="s">
        <v>38</v>
      </c>
      <c r="C502" s="42" t="s">
        <v>234</v>
      </c>
      <c r="D502" s="42" t="s">
        <v>182</v>
      </c>
      <c r="E502" s="42" t="s">
        <v>77</v>
      </c>
      <c r="F502" s="42" t="s">
        <v>18</v>
      </c>
      <c r="G502" s="42" t="s">
        <v>19</v>
      </c>
      <c r="H502" s="42" t="s">
        <v>22</v>
      </c>
      <c r="I502" s="42">
        <v>2</v>
      </c>
      <c r="J502" s="42" t="s">
        <v>21</v>
      </c>
      <c r="K502" s="43">
        <v>11406.26</v>
      </c>
      <c r="L502" s="42">
        <v>20000</v>
      </c>
      <c r="M502" s="42" t="s">
        <v>186</v>
      </c>
      <c r="N502" s="44">
        <f t="shared" si="21"/>
        <v>0.57031299999999996</v>
      </c>
      <c r="O502" s="44">
        <f>+VLOOKUP(J502,TC!$B$6:$C$17,2,0)*PRECIOS!N502</f>
        <v>243.62736266580774</v>
      </c>
      <c r="P502" s="42" t="str">
        <f t="shared" si="22"/>
        <v>Si</v>
      </c>
      <c r="Q502" s="44">
        <f>+IF(I502=1,O502,IF(I502=2,O502/(1+MRI!$C$18),(O502/(1+MRI!$D$18))/(1+MRI!$C$18)))</f>
        <v>222.35063080415787</v>
      </c>
      <c r="R502" s="44">
        <f t="shared" si="23"/>
        <v>222.35063080415787</v>
      </c>
    </row>
    <row r="503" spans="1:18" x14ac:dyDescent="0.3">
      <c r="A503" s="55">
        <v>502</v>
      </c>
      <c r="B503" s="55" t="s">
        <v>38</v>
      </c>
      <c r="C503" s="55" t="s">
        <v>234</v>
      </c>
      <c r="D503" s="55" t="s">
        <v>182</v>
      </c>
      <c r="E503" s="55" t="s">
        <v>79</v>
      </c>
      <c r="F503" s="55" t="s">
        <v>18</v>
      </c>
      <c r="G503" s="55" t="s">
        <v>19</v>
      </c>
      <c r="H503" s="55" t="s">
        <v>20</v>
      </c>
      <c r="I503" s="55">
        <v>3</v>
      </c>
      <c r="J503" s="55" t="s">
        <v>21</v>
      </c>
      <c r="K503" s="56">
        <v>3672</v>
      </c>
      <c r="L503" s="55">
        <v>5000</v>
      </c>
      <c r="M503" s="55" t="s">
        <v>186</v>
      </c>
      <c r="N503" s="57">
        <f t="shared" si="21"/>
        <v>0.73440000000000005</v>
      </c>
      <c r="O503" s="57">
        <f>+VLOOKUP(J503,TC!$B$6:$C$17,2,0)*PRECIOS!N503</f>
        <v>313.72235095775341</v>
      </c>
      <c r="P503" s="55" t="str">
        <f t="shared" si="22"/>
        <v>No</v>
      </c>
      <c r="Q503" s="57">
        <f>+IF(I503=1,O503,IF(I503=2,O503/(1+MRI!$C$18),(O503/(1+MRI!$D$18))/(1+MRI!$C$18)))</f>
        <v>239.83121295602888</v>
      </c>
      <c r="R503" s="57" t="str">
        <f t="shared" si="23"/>
        <v/>
      </c>
    </row>
    <row r="504" spans="1:18" x14ac:dyDescent="0.3">
      <c r="A504" s="42">
        <v>503</v>
      </c>
      <c r="B504" s="42" t="s">
        <v>38</v>
      </c>
      <c r="C504" s="42" t="s">
        <v>234</v>
      </c>
      <c r="D504" s="42" t="s">
        <v>182</v>
      </c>
      <c r="E504" s="42" t="s">
        <v>79</v>
      </c>
      <c r="F504" s="42" t="s">
        <v>18</v>
      </c>
      <c r="G504" s="42" t="s">
        <v>19</v>
      </c>
      <c r="H504" s="42" t="s">
        <v>22</v>
      </c>
      <c r="I504" s="42">
        <v>2</v>
      </c>
      <c r="J504" s="42" t="s">
        <v>21</v>
      </c>
      <c r="K504" s="43">
        <v>2851.57</v>
      </c>
      <c r="L504" s="42">
        <v>5000</v>
      </c>
      <c r="M504" s="42" t="s">
        <v>186</v>
      </c>
      <c r="N504" s="44">
        <f t="shared" si="21"/>
        <v>0.57031399999999999</v>
      </c>
      <c r="O504" s="44">
        <f>+VLOOKUP(J504,TC!$B$6:$C$17,2,0)*PRECIOS!N504</f>
        <v>243.62778984765816</v>
      </c>
      <c r="P504" s="42" t="str">
        <f t="shared" si="22"/>
        <v>Si</v>
      </c>
      <c r="Q504" s="44">
        <f>+IF(I504=1,O504,IF(I504=2,O504/(1+MRI!$C$18),(O504/(1+MRI!$D$18))/(1+MRI!$C$18)))</f>
        <v>222.35102067889471</v>
      </c>
      <c r="R504" s="44">
        <f t="shared" si="23"/>
        <v>222.35102067889471</v>
      </c>
    </row>
    <row r="505" spans="1:18" x14ac:dyDescent="0.3">
      <c r="A505" s="55">
        <v>504</v>
      </c>
      <c r="B505" s="55" t="s">
        <v>38</v>
      </c>
      <c r="C505" s="55" t="s">
        <v>234</v>
      </c>
      <c r="D505" s="55" t="s">
        <v>182</v>
      </c>
      <c r="E505" s="55" t="s">
        <v>80</v>
      </c>
      <c r="F505" s="55" t="s">
        <v>18</v>
      </c>
      <c r="G505" s="55" t="s">
        <v>19</v>
      </c>
      <c r="H505" s="55" t="s">
        <v>20</v>
      </c>
      <c r="I505" s="55">
        <v>3</v>
      </c>
      <c r="J505" s="55" t="s">
        <v>21</v>
      </c>
      <c r="K505" s="56">
        <v>10248.9</v>
      </c>
      <c r="L505" s="55">
        <v>10000</v>
      </c>
      <c r="M505" s="55" t="s">
        <v>186</v>
      </c>
      <c r="N505" s="57">
        <f t="shared" si="21"/>
        <v>1.0248899999999999</v>
      </c>
      <c r="O505" s="57">
        <f>+VLOOKUP(J505,TC!$B$6:$C$17,2,0)*PRECIOS!N505</f>
        <v>437.81440668993986</v>
      </c>
      <c r="P505" s="55" t="str">
        <f t="shared" si="22"/>
        <v>No</v>
      </c>
      <c r="Q505" s="57">
        <f>+IF(I505=1,O505,IF(I505=2,O505/(1+MRI!$C$18),(O505/(1+MRI!$D$18))/(1+MRI!$C$18)))</f>
        <v>334.69582223107903</v>
      </c>
      <c r="R505" s="57" t="str">
        <f t="shared" si="23"/>
        <v/>
      </c>
    </row>
    <row r="506" spans="1:18" x14ac:dyDescent="0.3">
      <c r="A506" s="42">
        <v>505</v>
      </c>
      <c r="B506" s="42" t="s">
        <v>38</v>
      </c>
      <c r="C506" s="42" t="s">
        <v>234</v>
      </c>
      <c r="D506" s="42" t="s">
        <v>182</v>
      </c>
      <c r="E506" s="42" t="s">
        <v>80</v>
      </c>
      <c r="F506" s="42" t="s">
        <v>18</v>
      </c>
      <c r="G506" s="42" t="s">
        <v>19</v>
      </c>
      <c r="H506" s="42" t="s">
        <v>22</v>
      </c>
      <c r="I506" s="42">
        <v>2</v>
      </c>
      <c r="J506" s="42" t="s">
        <v>21</v>
      </c>
      <c r="K506" s="43">
        <v>8009.92</v>
      </c>
      <c r="L506" s="42">
        <v>10000</v>
      </c>
      <c r="M506" s="42" t="s">
        <v>186</v>
      </c>
      <c r="N506" s="44">
        <f t="shared" si="21"/>
        <v>0.80099200000000004</v>
      </c>
      <c r="O506" s="44">
        <f>+VLOOKUP(J506,TC!$B$6:$C$17,2,0)*PRECIOS!N506</f>
        <v>342.16924474176579</v>
      </c>
      <c r="P506" s="42" t="str">
        <f t="shared" si="22"/>
        <v>Si</v>
      </c>
      <c r="Q506" s="44">
        <f>+IF(I506=1,O506,IF(I506=2,O506/(1+MRI!$C$18),(O506/(1+MRI!$D$18))/(1+MRI!$C$18)))</f>
        <v>312.28654522881999</v>
      </c>
      <c r="R506" s="44">
        <f t="shared" si="23"/>
        <v>312.28654522881999</v>
      </c>
    </row>
    <row r="507" spans="1:18" x14ac:dyDescent="0.3">
      <c r="A507" s="55">
        <v>506</v>
      </c>
      <c r="B507" s="55" t="s">
        <v>38</v>
      </c>
      <c r="C507" s="55" t="s">
        <v>234</v>
      </c>
      <c r="D507" s="55" t="s">
        <v>182</v>
      </c>
      <c r="E507" s="55" t="s">
        <v>131</v>
      </c>
      <c r="F507" s="55" t="s">
        <v>18</v>
      </c>
      <c r="G507" s="55" t="s">
        <v>19</v>
      </c>
      <c r="H507" s="55" t="s">
        <v>20</v>
      </c>
      <c r="I507" s="55">
        <v>3</v>
      </c>
      <c r="J507" s="55" t="s">
        <v>21</v>
      </c>
      <c r="K507" s="56">
        <v>1057.5</v>
      </c>
      <c r="L507" s="55">
        <v>1000</v>
      </c>
      <c r="M507" s="55" t="s">
        <v>186</v>
      </c>
      <c r="N507" s="57">
        <f t="shared" si="21"/>
        <v>1.0575000000000001</v>
      </c>
      <c r="O507" s="57">
        <f>+VLOOKUP(J507,TC!$B$6:$C$17,2,0)*PRECIOS!N507</f>
        <v>451.74480683254933</v>
      </c>
      <c r="P507" s="55" t="str">
        <f t="shared" si="22"/>
        <v>No</v>
      </c>
      <c r="Q507" s="57">
        <f>+IF(I507=1,O507,IF(I507=2,O507/(1+MRI!$C$18),(O507/(1+MRI!$D$18))/(1+MRI!$C$18)))</f>
        <v>345.34519022467396</v>
      </c>
      <c r="R507" s="57" t="str">
        <f t="shared" si="23"/>
        <v/>
      </c>
    </row>
    <row r="508" spans="1:18" x14ac:dyDescent="0.3">
      <c r="A508" s="42">
        <v>507</v>
      </c>
      <c r="B508" s="42" t="s">
        <v>38</v>
      </c>
      <c r="C508" s="42" t="s">
        <v>234</v>
      </c>
      <c r="D508" s="42" t="s">
        <v>182</v>
      </c>
      <c r="E508" s="42" t="s">
        <v>131</v>
      </c>
      <c r="F508" s="42" t="s">
        <v>18</v>
      </c>
      <c r="G508" s="42" t="s">
        <v>19</v>
      </c>
      <c r="H508" s="42" t="s">
        <v>22</v>
      </c>
      <c r="I508" s="42">
        <v>2</v>
      </c>
      <c r="J508" s="42" t="s">
        <v>21</v>
      </c>
      <c r="K508" s="43">
        <v>800.99</v>
      </c>
      <c r="L508" s="42">
        <v>1000</v>
      </c>
      <c r="M508" s="42" t="s">
        <v>186</v>
      </c>
      <c r="N508" s="44">
        <f t="shared" si="21"/>
        <v>0.80098999999999998</v>
      </c>
      <c r="O508" s="44">
        <f>+VLOOKUP(J508,TC!$B$6:$C$17,2,0)*PRECIOS!N508</f>
        <v>342.16839037806494</v>
      </c>
      <c r="P508" s="42" t="str">
        <f t="shared" si="22"/>
        <v>Si</v>
      </c>
      <c r="Q508" s="44">
        <f>+IF(I508=1,O508,IF(I508=2,O508/(1+MRI!$C$18),(O508/(1+MRI!$D$18))/(1+MRI!$C$18)))</f>
        <v>312.28576547934625</v>
      </c>
      <c r="R508" s="44">
        <f t="shared" si="23"/>
        <v>312.28576547934625</v>
      </c>
    </row>
    <row r="509" spans="1:18" x14ac:dyDescent="0.3">
      <c r="A509" s="55">
        <v>508</v>
      </c>
      <c r="B509" s="55" t="s">
        <v>38</v>
      </c>
      <c r="C509" s="55" t="s">
        <v>234</v>
      </c>
      <c r="D509" s="55" t="s">
        <v>182</v>
      </c>
      <c r="E509" s="55" t="s">
        <v>81</v>
      </c>
      <c r="F509" s="55" t="s">
        <v>18</v>
      </c>
      <c r="G509" s="55" t="s">
        <v>19</v>
      </c>
      <c r="H509" s="55" t="s">
        <v>20</v>
      </c>
      <c r="I509" s="55">
        <v>3</v>
      </c>
      <c r="J509" s="55" t="s">
        <v>21</v>
      </c>
      <c r="K509" s="56">
        <v>20461.5</v>
      </c>
      <c r="L509" s="55">
        <v>20000</v>
      </c>
      <c r="M509" s="55" t="s">
        <v>186</v>
      </c>
      <c r="N509" s="57">
        <f t="shared" si="21"/>
        <v>1.023075</v>
      </c>
      <c r="O509" s="57">
        <f>+VLOOKUP(J509,TC!$B$6:$C$17,2,0)*PRECIOS!N509</f>
        <v>437.03907163140457</v>
      </c>
      <c r="P509" s="55" t="str">
        <f t="shared" si="22"/>
        <v>No</v>
      </c>
      <c r="Q509" s="57">
        <f>+IF(I509=1,O509,IF(I509=2,O509/(1+MRI!$C$18),(O509/(1+MRI!$D$18))/(1+MRI!$C$18)))</f>
        <v>334.10310211736009</v>
      </c>
      <c r="R509" s="57" t="str">
        <f t="shared" si="23"/>
        <v/>
      </c>
    </row>
    <row r="510" spans="1:18" x14ac:dyDescent="0.3">
      <c r="A510" s="42">
        <v>509</v>
      </c>
      <c r="B510" s="42" t="s">
        <v>38</v>
      </c>
      <c r="C510" s="42" t="s">
        <v>234</v>
      </c>
      <c r="D510" s="42" t="s">
        <v>182</v>
      </c>
      <c r="E510" s="42" t="s">
        <v>81</v>
      </c>
      <c r="F510" s="42" t="s">
        <v>18</v>
      </c>
      <c r="G510" s="42" t="s">
        <v>19</v>
      </c>
      <c r="H510" s="42" t="s">
        <v>22</v>
      </c>
      <c r="I510" s="42">
        <v>2</v>
      </c>
      <c r="J510" s="42" t="s">
        <v>21</v>
      </c>
      <c r="K510" s="43">
        <v>16019.84</v>
      </c>
      <c r="L510" s="42">
        <v>20000</v>
      </c>
      <c r="M510" s="42" t="s">
        <v>186</v>
      </c>
      <c r="N510" s="44">
        <f t="shared" si="21"/>
        <v>0.80099200000000004</v>
      </c>
      <c r="O510" s="44">
        <f>+VLOOKUP(J510,TC!$B$6:$C$17,2,0)*PRECIOS!N510</f>
        <v>342.16924474176579</v>
      </c>
      <c r="P510" s="42" t="str">
        <f t="shared" si="22"/>
        <v>Si</v>
      </c>
      <c r="Q510" s="44">
        <f>+IF(I510=1,O510,IF(I510=2,O510/(1+MRI!$C$18),(O510/(1+MRI!$D$18))/(1+MRI!$C$18)))</f>
        <v>312.28654522881999</v>
      </c>
      <c r="R510" s="44">
        <f t="shared" si="23"/>
        <v>312.28654522881999</v>
      </c>
    </row>
    <row r="511" spans="1:18" x14ac:dyDescent="0.3">
      <c r="A511" s="55">
        <v>510</v>
      </c>
      <c r="B511" s="55" t="s">
        <v>38</v>
      </c>
      <c r="C511" s="55" t="s">
        <v>234</v>
      </c>
      <c r="D511" s="55" t="s">
        <v>182</v>
      </c>
      <c r="E511" s="55" t="s">
        <v>82</v>
      </c>
      <c r="F511" s="55" t="s">
        <v>18</v>
      </c>
      <c r="G511" s="55" t="s">
        <v>19</v>
      </c>
      <c r="H511" s="55" t="s">
        <v>20</v>
      </c>
      <c r="I511" s="55">
        <v>3</v>
      </c>
      <c r="J511" s="55" t="s">
        <v>21</v>
      </c>
      <c r="K511" s="56">
        <v>2589.4</v>
      </c>
      <c r="L511" s="55">
        <v>2500</v>
      </c>
      <c r="M511" s="55" t="s">
        <v>186</v>
      </c>
      <c r="N511" s="57">
        <f t="shared" si="21"/>
        <v>1.03576</v>
      </c>
      <c r="O511" s="57">
        <f>+VLOOKUP(J511,TC!$B$6:$C$17,2,0)*PRECIOS!N511</f>
        <v>442.45787340414302</v>
      </c>
      <c r="P511" s="55" t="str">
        <f t="shared" si="22"/>
        <v>No</v>
      </c>
      <c r="Q511" s="57">
        <f>+IF(I511=1,O511,IF(I511=2,O511/(1+MRI!$C$18),(O511/(1+MRI!$D$18))/(1+MRI!$C$18)))</f>
        <v>338.2456115622773</v>
      </c>
      <c r="R511" s="57" t="str">
        <f t="shared" si="23"/>
        <v/>
      </c>
    </row>
    <row r="512" spans="1:18" x14ac:dyDescent="0.3">
      <c r="A512" s="42">
        <v>511</v>
      </c>
      <c r="B512" s="42" t="s">
        <v>38</v>
      </c>
      <c r="C512" s="42" t="s">
        <v>234</v>
      </c>
      <c r="D512" s="42" t="s">
        <v>182</v>
      </c>
      <c r="E512" s="42" t="s">
        <v>82</v>
      </c>
      <c r="F512" s="42" t="s">
        <v>18</v>
      </c>
      <c r="G512" s="42" t="s">
        <v>19</v>
      </c>
      <c r="H512" s="42" t="s">
        <v>22</v>
      </c>
      <c r="I512" s="42">
        <v>2</v>
      </c>
      <c r="J512" s="42" t="s">
        <v>21</v>
      </c>
      <c r="K512" s="43">
        <v>2002.48</v>
      </c>
      <c r="L512" s="42">
        <v>2500</v>
      </c>
      <c r="M512" s="42" t="s">
        <v>186</v>
      </c>
      <c r="N512" s="44">
        <f t="shared" si="21"/>
        <v>0.80099200000000004</v>
      </c>
      <c r="O512" s="44">
        <f>+VLOOKUP(J512,TC!$B$6:$C$17,2,0)*PRECIOS!N512</f>
        <v>342.16924474176579</v>
      </c>
      <c r="P512" s="42" t="str">
        <f t="shared" si="22"/>
        <v>Si</v>
      </c>
      <c r="Q512" s="44">
        <f>+IF(I512=1,O512,IF(I512=2,O512/(1+MRI!$C$18),(O512/(1+MRI!$D$18))/(1+MRI!$C$18)))</f>
        <v>312.28654522881999</v>
      </c>
      <c r="R512" s="44">
        <f t="shared" si="23"/>
        <v>312.28654522881999</v>
      </c>
    </row>
    <row r="513" spans="1:18" x14ac:dyDescent="0.3">
      <c r="A513" s="55">
        <v>512</v>
      </c>
      <c r="B513" s="55" t="s">
        <v>38</v>
      </c>
      <c r="C513" s="55" t="s">
        <v>234</v>
      </c>
      <c r="D513" s="55" t="s">
        <v>182</v>
      </c>
      <c r="E513" s="55" t="s">
        <v>83</v>
      </c>
      <c r="F513" s="55" t="s">
        <v>18</v>
      </c>
      <c r="G513" s="55" t="s">
        <v>19</v>
      </c>
      <c r="H513" s="55" t="s">
        <v>20</v>
      </c>
      <c r="I513" s="55">
        <v>3</v>
      </c>
      <c r="J513" s="55" t="s">
        <v>21</v>
      </c>
      <c r="K513" s="56">
        <v>30674.2</v>
      </c>
      <c r="L513" s="55">
        <v>30000</v>
      </c>
      <c r="M513" s="55" t="s">
        <v>186</v>
      </c>
      <c r="N513" s="57">
        <f t="shared" si="21"/>
        <v>1.0224733333333333</v>
      </c>
      <c r="O513" s="57">
        <f>+VLOOKUP(J513,TC!$B$6:$C$17,2,0)*PRECIOS!N513</f>
        <v>436.78205055139426</v>
      </c>
      <c r="P513" s="55" t="str">
        <f t="shared" si="22"/>
        <v>No</v>
      </c>
      <c r="Q513" s="57">
        <f>+IF(I513=1,O513,IF(I513=2,O513/(1+MRI!$C$18),(O513/(1+MRI!$D$18))/(1+MRI!$C$18)))</f>
        <v>333.90661730463967</v>
      </c>
      <c r="R513" s="57" t="str">
        <f t="shared" si="23"/>
        <v/>
      </c>
    </row>
    <row r="514" spans="1:18" x14ac:dyDescent="0.3">
      <c r="A514" s="42">
        <v>513</v>
      </c>
      <c r="B514" s="42" t="s">
        <v>38</v>
      </c>
      <c r="C514" s="42" t="s">
        <v>234</v>
      </c>
      <c r="D514" s="42" t="s">
        <v>182</v>
      </c>
      <c r="E514" s="42" t="s">
        <v>83</v>
      </c>
      <c r="F514" s="42" t="s">
        <v>18</v>
      </c>
      <c r="G514" s="42" t="s">
        <v>19</v>
      </c>
      <c r="H514" s="42" t="s">
        <v>22</v>
      </c>
      <c r="I514" s="42">
        <v>2</v>
      </c>
      <c r="J514" s="42" t="s">
        <v>21</v>
      </c>
      <c r="K514" s="43">
        <v>24029.759999999998</v>
      </c>
      <c r="L514" s="42">
        <v>30000</v>
      </c>
      <c r="M514" s="42" t="s">
        <v>186</v>
      </c>
      <c r="N514" s="44">
        <f t="shared" si="21"/>
        <v>0.80099199999999993</v>
      </c>
      <c r="O514" s="44">
        <f>+VLOOKUP(J514,TC!$B$6:$C$17,2,0)*PRECIOS!N514</f>
        <v>342.16924474176574</v>
      </c>
      <c r="P514" s="42" t="str">
        <f t="shared" si="22"/>
        <v>Si</v>
      </c>
      <c r="Q514" s="44">
        <f>+IF(I514=1,O514,IF(I514=2,O514/(1+MRI!$C$18),(O514/(1+MRI!$D$18))/(1+MRI!$C$18)))</f>
        <v>312.28654522881993</v>
      </c>
      <c r="R514" s="44">
        <f t="shared" si="23"/>
        <v>312.28654522881993</v>
      </c>
    </row>
    <row r="515" spans="1:18" x14ac:dyDescent="0.3">
      <c r="A515" s="55">
        <v>514</v>
      </c>
      <c r="B515" s="55" t="s">
        <v>38</v>
      </c>
      <c r="C515" s="55" t="s">
        <v>234</v>
      </c>
      <c r="D515" s="55" t="s">
        <v>182</v>
      </c>
      <c r="E515" s="55" t="s">
        <v>84</v>
      </c>
      <c r="F515" s="55" t="s">
        <v>18</v>
      </c>
      <c r="G515" s="55" t="s">
        <v>19</v>
      </c>
      <c r="H515" s="55" t="s">
        <v>20</v>
      </c>
      <c r="I515" s="55">
        <v>3</v>
      </c>
      <c r="J515" s="55" t="s">
        <v>21</v>
      </c>
      <c r="K515" s="56">
        <v>5142.6000000000004</v>
      </c>
      <c r="L515" s="55">
        <v>5000</v>
      </c>
      <c r="M515" s="55" t="s">
        <v>186</v>
      </c>
      <c r="N515" s="57">
        <f t="shared" ref="N515:N556" si="24">+K515/L515</f>
        <v>1.0285200000000001</v>
      </c>
      <c r="O515" s="57">
        <f>+VLOOKUP(J515,TC!$B$6:$C$17,2,0)*PRECIOS!N515</f>
        <v>439.36507680701055</v>
      </c>
      <c r="P515" s="55" t="str">
        <f t="shared" ref="P515:P556" si="25">IF(_xlfn.MINIFS($I:$I,$F:$F,F515,$E:$E,E515)=I515,"Si","No")</f>
        <v>No</v>
      </c>
      <c r="Q515" s="57">
        <f>+IF(I515=1,O515,IF(I515=2,O515/(1+MRI!$C$18),(O515/(1+MRI!$D$18))/(1+MRI!$C$18)))</f>
        <v>335.88126245851697</v>
      </c>
      <c r="R515" s="57" t="str">
        <f t="shared" ref="R515:R556" si="26">+IF(P515="Si",Q515,"")</f>
        <v/>
      </c>
    </row>
    <row r="516" spans="1:18" x14ac:dyDescent="0.3">
      <c r="A516" s="42">
        <v>515</v>
      </c>
      <c r="B516" s="42" t="s">
        <v>38</v>
      </c>
      <c r="C516" s="42" t="s">
        <v>234</v>
      </c>
      <c r="D516" s="42" t="s">
        <v>182</v>
      </c>
      <c r="E516" s="42" t="s">
        <v>84</v>
      </c>
      <c r="F516" s="42" t="s">
        <v>18</v>
      </c>
      <c r="G516" s="42" t="s">
        <v>19</v>
      </c>
      <c r="H516" s="42" t="s">
        <v>22</v>
      </c>
      <c r="I516" s="42">
        <v>2</v>
      </c>
      <c r="J516" s="42" t="s">
        <v>21</v>
      </c>
      <c r="K516" s="43">
        <v>4004.96</v>
      </c>
      <c r="L516" s="42">
        <v>5000</v>
      </c>
      <c r="M516" s="42" t="s">
        <v>186</v>
      </c>
      <c r="N516" s="44">
        <f t="shared" si="24"/>
        <v>0.80099200000000004</v>
      </c>
      <c r="O516" s="44">
        <f>+VLOOKUP(J516,TC!$B$6:$C$17,2,0)*PRECIOS!N516</f>
        <v>342.16924474176579</v>
      </c>
      <c r="P516" s="42" t="str">
        <f t="shared" si="25"/>
        <v>Si</v>
      </c>
      <c r="Q516" s="44">
        <f>+IF(I516=1,O516,IF(I516=2,O516/(1+MRI!$C$18),(O516/(1+MRI!$D$18))/(1+MRI!$C$18)))</f>
        <v>312.28654522881999</v>
      </c>
      <c r="R516" s="44">
        <f t="shared" si="26"/>
        <v>312.28654522881999</v>
      </c>
    </row>
    <row r="517" spans="1:18" x14ac:dyDescent="0.3">
      <c r="A517" s="55">
        <v>516</v>
      </c>
      <c r="B517" s="55" t="s">
        <v>38</v>
      </c>
      <c r="C517" s="55" t="s">
        <v>234</v>
      </c>
      <c r="D517" s="55" t="s">
        <v>182</v>
      </c>
      <c r="E517" s="55" t="s">
        <v>73</v>
      </c>
      <c r="F517" s="55" t="s">
        <v>18</v>
      </c>
      <c r="G517" s="55" t="s">
        <v>19</v>
      </c>
      <c r="H517" s="55" t="s">
        <v>20</v>
      </c>
      <c r="I517" s="55">
        <v>3</v>
      </c>
      <c r="J517" s="55" t="s">
        <v>21</v>
      </c>
      <c r="K517" s="56">
        <v>20561.5</v>
      </c>
      <c r="L517" s="55">
        <v>20000</v>
      </c>
      <c r="M517" s="55" t="s">
        <v>186</v>
      </c>
      <c r="N517" s="57">
        <f t="shared" si="24"/>
        <v>1.0280750000000001</v>
      </c>
      <c r="O517" s="57">
        <f>+VLOOKUP(J517,TC!$B$6:$C$17,2,0)*PRECIOS!N517</f>
        <v>439.17498088356797</v>
      </c>
      <c r="P517" s="55" t="str">
        <f t="shared" si="25"/>
        <v>No</v>
      </c>
      <c r="Q517" s="57">
        <f>+IF(I517=1,O517,IF(I517=2,O517/(1+MRI!$C$18),(O517/(1+MRI!$D$18))/(1+MRI!$C$18)))</f>
        <v>335.73593989620019</v>
      </c>
      <c r="R517" s="57" t="str">
        <f t="shared" si="26"/>
        <v/>
      </c>
    </row>
    <row r="518" spans="1:18" x14ac:dyDescent="0.3">
      <c r="A518" s="42">
        <v>517</v>
      </c>
      <c r="B518" s="42" t="s">
        <v>38</v>
      </c>
      <c r="C518" s="42" t="s">
        <v>234</v>
      </c>
      <c r="D518" s="42" t="s">
        <v>182</v>
      </c>
      <c r="E518" s="42" t="s">
        <v>73</v>
      </c>
      <c r="F518" s="42" t="s">
        <v>18</v>
      </c>
      <c r="G518" s="42" t="s">
        <v>19</v>
      </c>
      <c r="H518" s="42" t="s">
        <v>22</v>
      </c>
      <c r="I518" s="42">
        <v>2</v>
      </c>
      <c r="J518" s="42" t="s">
        <v>21</v>
      </c>
      <c r="K518" s="43">
        <v>16019.7</v>
      </c>
      <c r="L518" s="42">
        <v>20000</v>
      </c>
      <c r="M518" s="42" t="s">
        <v>186</v>
      </c>
      <c r="N518" s="44">
        <f t="shared" si="24"/>
        <v>0.80098500000000006</v>
      </c>
      <c r="O518" s="44">
        <f>+VLOOKUP(J518,TC!$B$6:$C$17,2,0)*PRECIOS!N518</f>
        <v>342.16625446881278</v>
      </c>
      <c r="P518" s="42" t="str">
        <f t="shared" si="25"/>
        <v>Si</v>
      </c>
      <c r="Q518" s="44">
        <f>+IF(I518=1,O518,IF(I518=2,O518/(1+MRI!$C$18),(O518/(1+MRI!$D$18))/(1+MRI!$C$18)))</f>
        <v>312.28381610566197</v>
      </c>
      <c r="R518" s="44">
        <f t="shared" si="26"/>
        <v>312.28381610566197</v>
      </c>
    </row>
    <row r="519" spans="1:18" x14ac:dyDescent="0.3">
      <c r="A519" s="55">
        <v>518</v>
      </c>
      <c r="B519" s="55" t="s">
        <v>38</v>
      </c>
      <c r="C519" s="55" t="s">
        <v>234</v>
      </c>
      <c r="D519" s="55" t="s">
        <v>182</v>
      </c>
      <c r="E519" s="55" t="s">
        <v>55</v>
      </c>
      <c r="F519" s="55" t="s">
        <v>18</v>
      </c>
      <c r="G519" s="55" t="s">
        <v>19</v>
      </c>
      <c r="H519" s="55" t="s">
        <v>20</v>
      </c>
      <c r="I519" s="55">
        <v>3</v>
      </c>
      <c r="J519" s="55" t="s">
        <v>21</v>
      </c>
      <c r="K519" s="56">
        <v>10298.9</v>
      </c>
      <c r="L519" s="55">
        <v>10000</v>
      </c>
      <c r="M519" s="55" t="s">
        <v>186</v>
      </c>
      <c r="N519" s="57">
        <f t="shared" si="24"/>
        <v>1.02989</v>
      </c>
      <c r="O519" s="57">
        <f>+VLOOKUP(J519,TC!$B$6:$C$17,2,0)*PRECIOS!N519</f>
        <v>439.95031594210326</v>
      </c>
      <c r="P519" s="55" t="str">
        <f t="shared" si="25"/>
        <v>No</v>
      </c>
      <c r="Q519" s="57">
        <f>+IF(I519=1,O519,IF(I519=2,O519/(1+MRI!$C$18),(O519/(1+MRI!$D$18))/(1+MRI!$C$18)))</f>
        <v>336.32866000991913</v>
      </c>
      <c r="R519" s="57" t="str">
        <f t="shared" si="26"/>
        <v/>
      </c>
    </row>
    <row r="520" spans="1:18" x14ac:dyDescent="0.3">
      <c r="A520" s="42">
        <v>519</v>
      </c>
      <c r="B520" s="42" t="s">
        <v>38</v>
      </c>
      <c r="C520" s="42" t="s">
        <v>234</v>
      </c>
      <c r="D520" s="42" t="s">
        <v>182</v>
      </c>
      <c r="E520" s="42" t="s">
        <v>55</v>
      </c>
      <c r="F520" s="42" t="s">
        <v>18</v>
      </c>
      <c r="G520" s="42" t="s">
        <v>19</v>
      </c>
      <c r="H520" s="42" t="s">
        <v>22</v>
      </c>
      <c r="I520" s="42">
        <v>2</v>
      </c>
      <c r="J520" s="42" t="s">
        <v>21</v>
      </c>
      <c r="K520" s="43">
        <v>8009.85</v>
      </c>
      <c r="L520" s="42">
        <v>10000</v>
      </c>
      <c r="M520" s="42" t="s">
        <v>186</v>
      </c>
      <c r="N520" s="44">
        <f t="shared" si="24"/>
        <v>0.80098500000000006</v>
      </c>
      <c r="O520" s="44">
        <f>+VLOOKUP(J520,TC!$B$6:$C$17,2,0)*PRECIOS!N520</f>
        <v>342.16625446881278</v>
      </c>
      <c r="P520" s="42" t="str">
        <f t="shared" si="25"/>
        <v>Si</v>
      </c>
      <c r="Q520" s="44">
        <f>+IF(I520=1,O520,IF(I520=2,O520/(1+MRI!$C$18),(O520/(1+MRI!$D$18))/(1+MRI!$C$18)))</f>
        <v>312.28381610566197</v>
      </c>
      <c r="R520" s="44">
        <f t="shared" si="26"/>
        <v>312.28381610566197</v>
      </c>
    </row>
    <row r="521" spans="1:18" x14ac:dyDescent="0.3">
      <c r="A521" s="55">
        <v>520</v>
      </c>
      <c r="B521" s="55" t="s">
        <v>38</v>
      </c>
      <c r="C521" s="55" t="s">
        <v>234</v>
      </c>
      <c r="D521" s="55" t="s">
        <v>182</v>
      </c>
      <c r="E521" s="55" t="s">
        <v>63</v>
      </c>
      <c r="F521" s="55" t="s">
        <v>18</v>
      </c>
      <c r="G521" s="55" t="s">
        <v>19</v>
      </c>
      <c r="H521" s="55" t="s">
        <v>20</v>
      </c>
      <c r="I521" s="55">
        <v>3</v>
      </c>
      <c r="J521" s="55" t="s">
        <v>21</v>
      </c>
      <c r="K521" s="56">
        <v>2487.8000000000002</v>
      </c>
      <c r="L521" s="55">
        <v>2500</v>
      </c>
      <c r="M521" s="55" t="s">
        <v>186</v>
      </c>
      <c r="N521" s="57">
        <f t="shared" si="24"/>
        <v>0.99512000000000012</v>
      </c>
      <c r="O521" s="57">
        <f>+VLOOKUP(J521,TC!$B$6:$C$17,2,0)*PRECIOS!N521</f>
        <v>425.09720300255935</v>
      </c>
      <c r="P521" s="55" t="str">
        <f t="shared" si="25"/>
        <v>No</v>
      </c>
      <c r="Q521" s="57">
        <f>+IF(I521=1,O521,IF(I521=2,O521/(1+MRI!$C$18),(O521/(1+MRI!$D$18))/(1+MRI!$C$18)))</f>
        <v>324.97390609586535</v>
      </c>
      <c r="R521" s="57" t="str">
        <f t="shared" si="26"/>
        <v/>
      </c>
    </row>
    <row r="522" spans="1:18" x14ac:dyDescent="0.3">
      <c r="A522" s="42">
        <v>521</v>
      </c>
      <c r="B522" s="42" t="s">
        <v>38</v>
      </c>
      <c r="C522" s="42" t="s">
        <v>234</v>
      </c>
      <c r="D522" s="42" t="s">
        <v>182</v>
      </c>
      <c r="E522" s="42" t="s">
        <v>63</v>
      </c>
      <c r="F522" s="42" t="s">
        <v>18</v>
      </c>
      <c r="G522" s="42" t="s">
        <v>19</v>
      </c>
      <c r="H522" s="42" t="s">
        <v>22</v>
      </c>
      <c r="I522" s="42">
        <v>2</v>
      </c>
      <c r="J522" s="42" t="s">
        <v>21</v>
      </c>
      <c r="K522" s="43">
        <v>1922.78</v>
      </c>
      <c r="L522" s="42">
        <v>2500</v>
      </c>
      <c r="M522" s="42" t="s">
        <v>186</v>
      </c>
      <c r="N522" s="44">
        <f t="shared" si="24"/>
        <v>0.76911200000000002</v>
      </c>
      <c r="O522" s="44">
        <f>+VLOOKUP(J522,TC!$B$6:$C$17,2,0)*PRECIOS!N522</f>
        <v>328.55068734997224</v>
      </c>
      <c r="P522" s="42" t="str">
        <f t="shared" si="25"/>
        <v>Si</v>
      </c>
      <c r="Q522" s="44">
        <f>+IF(I522=1,O522,IF(I522=2,O522/(1+MRI!$C$18),(O522/(1+MRI!$D$18))/(1+MRI!$C$18)))</f>
        <v>299.85733861764936</v>
      </c>
      <c r="R522" s="44">
        <f t="shared" si="26"/>
        <v>299.85733861764936</v>
      </c>
    </row>
    <row r="523" spans="1:18" x14ac:dyDescent="0.3">
      <c r="A523" s="55">
        <v>522</v>
      </c>
      <c r="B523" s="55" t="s">
        <v>38</v>
      </c>
      <c r="C523" s="55" t="s">
        <v>234</v>
      </c>
      <c r="D523" s="55" t="s">
        <v>182</v>
      </c>
      <c r="E523" s="55" t="s">
        <v>65</v>
      </c>
      <c r="F523" s="55" t="s">
        <v>18</v>
      </c>
      <c r="G523" s="55" t="s">
        <v>19</v>
      </c>
      <c r="H523" s="55" t="s">
        <v>20</v>
      </c>
      <c r="I523" s="55">
        <v>3</v>
      </c>
      <c r="J523" s="55" t="s">
        <v>21</v>
      </c>
      <c r="K523" s="56">
        <v>4939.3</v>
      </c>
      <c r="L523" s="55">
        <v>5000</v>
      </c>
      <c r="M523" s="55" t="s">
        <v>186</v>
      </c>
      <c r="N523" s="57">
        <f t="shared" si="24"/>
        <v>0.98786000000000007</v>
      </c>
      <c r="O523" s="57">
        <f>+VLOOKUP(J523,TC!$B$6:$C$17,2,0)*PRECIOS!N523</f>
        <v>421.99586276841814</v>
      </c>
      <c r="P523" s="55" t="str">
        <f t="shared" si="25"/>
        <v>No</v>
      </c>
      <c r="Q523" s="57">
        <f>+IF(I523=1,O523,IF(I523=2,O523/(1+MRI!$C$18),(O523/(1+MRI!$D$18))/(1+MRI!$C$18)))</f>
        <v>322.60302564098953</v>
      </c>
      <c r="R523" s="57" t="str">
        <f t="shared" si="26"/>
        <v/>
      </c>
    </row>
    <row r="524" spans="1:18" x14ac:dyDescent="0.3">
      <c r="A524" s="42">
        <v>523</v>
      </c>
      <c r="B524" s="42" t="s">
        <v>38</v>
      </c>
      <c r="C524" s="42" t="s">
        <v>234</v>
      </c>
      <c r="D524" s="42" t="s">
        <v>182</v>
      </c>
      <c r="E524" s="42" t="s">
        <v>65</v>
      </c>
      <c r="F524" s="42" t="s">
        <v>18</v>
      </c>
      <c r="G524" s="42" t="s">
        <v>19</v>
      </c>
      <c r="H524" s="42" t="s">
        <v>22</v>
      </c>
      <c r="I524" s="42">
        <v>2</v>
      </c>
      <c r="J524" s="42" t="s">
        <v>21</v>
      </c>
      <c r="K524" s="43">
        <v>3845.55</v>
      </c>
      <c r="L524" s="42">
        <v>5000</v>
      </c>
      <c r="M524" s="42" t="s">
        <v>186</v>
      </c>
      <c r="N524" s="44">
        <f t="shared" si="24"/>
        <v>0.76911000000000007</v>
      </c>
      <c r="O524" s="44">
        <f>+VLOOKUP(J524,TC!$B$6:$C$17,2,0)*PRECIOS!N524</f>
        <v>328.54983298627144</v>
      </c>
      <c r="P524" s="42" t="str">
        <f t="shared" si="25"/>
        <v>Si</v>
      </c>
      <c r="Q524" s="44">
        <f>+IF(I524=1,O524,IF(I524=2,O524/(1+MRI!$C$18),(O524/(1+MRI!$D$18))/(1+MRI!$C$18)))</f>
        <v>299.85655886817568</v>
      </c>
      <c r="R524" s="44">
        <f t="shared" si="26"/>
        <v>299.85655886817568</v>
      </c>
    </row>
    <row r="525" spans="1:18" x14ac:dyDescent="0.3">
      <c r="A525" s="55">
        <v>524</v>
      </c>
      <c r="B525" s="55" t="s">
        <v>38</v>
      </c>
      <c r="C525" s="55" t="s">
        <v>234</v>
      </c>
      <c r="D525" s="55" t="s">
        <v>182</v>
      </c>
      <c r="E525" s="55" t="s">
        <v>54</v>
      </c>
      <c r="F525" s="55" t="s">
        <v>18</v>
      </c>
      <c r="G525" s="55" t="s">
        <v>19</v>
      </c>
      <c r="H525" s="55" t="s">
        <v>20</v>
      </c>
      <c r="I525" s="55">
        <v>3</v>
      </c>
      <c r="J525" s="55" t="s">
        <v>21</v>
      </c>
      <c r="K525" s="56">
        <v>5167.6000000000004</v>
      </c>
      <c r="L525" s="55">
        <v>5000</v>
      </c>
      <c r="M525" s="55" t="s">
        <v>186</v>
      </c>
      <c r="N525" s="57">
        <f t="shared" si="24"/>
        <v>1.03352</v>
      </c>
      <c r="O525" s="57">
        <f>+VLOOKUP(J525,TC!$B$6:$C$17,2,0)*PRECIOS!N525</f>
        <v>441.50098605917384</v>
      </c>
      <c r="P525" s="55" t="str">
        <f t="shared" si="25"/>
        <v>No</v>
      </c>
      <c r="Q525" s="57">
        <f>+IF(I525=1,O525,IF(I525=2,O525/(1+MRI!$C$18),(O525/(1+MRI!$D$18))/(1+MRI!$C$18)))</f>
        <v>337.51410023735701</v>
      </c>
      <c r="R525" s="57" t="str">
        <f t="shared" si="26"/>
        <v/>
      </c>
    </row>
    <row r="526" spans="1:18" x14ac:dyDescent="0.3">
      <c r="A526" s="42">
        <v>525</v>
      </c>
      <c r="B526" s="42" t="s">
        <v>38</v>
      </c>
      <c r="C526" s="42" t="s">
        <v>234</v>
      </c>
      <c r="D526" s="42" t="s">
        <v>182</v>
      </c>
      <c r="E526" s="42" t="s">
        <v>54</v>
      </c>
      <c r="F526" s="42" t="s">
        <v>18</v>
      </c>
      <c r="G526" s="42" t="s">
        <v>19</v>
      </c>
      <c r="H526" s="42" t="s">
        <v>22</v>
      </c>
      <c r="I526" s="42">
        <v>2</v>
      </c>
      <c r="J526" s="42" t="s">
        <v>21</v>
      </c>
      <c r="K526" s="43">
        <v>4004.93</v>
      </c>
      <c r="L526" s="42">
        <v>5000</v>
      </c>
      <c r="M526" s="42" t="s">
        <v>186</v>
      </c>
      <c r="N526" s="44">
        <f t="shared" si="24"/>
        <v>0.80098599999999998</v>
      </c>
      <c r="O526" s="44">
        <f>+VLOOKUP(J526,TC!$B$6:$C$17,2,0)*PRECIOS!N526</f>
        <v>342.16668165066318</v>
      </c>
      <c r="P526" s="42" t="str">
        <f t="shared" si="25"/>
        <v>Si</v>
      </c>
      <c r="Q526" s="44">
        <f>+IF(I526=1,O526,IF(I526=2,O526/(1+MRI!$C$18),(O526/(1+MRI!$D$18))/(1+MRI!$C$18)))</f>
        <v>312.28420598039878</v>
      </c>
      <c r="R526" s="44">
        <f t="shared" si="26"/>
        <v>312.28420598039878</v>
      </c>
    </row>
    <row r="527" spans="1:18" x14ac:dyDescent="0.3">
      <c r="A527" s="55">
        <v>526</v>
      </c>
      <c r="B527" s="55" t="s">
        <v>38</v>
      </c>
      <c r="C527" s="55" t="s">
        <v>234</v>
      </c>
      <c r="D527" s="55" t="s">
        <v>182</v>
      </c>
      <c r="E527" s="55" t="s">
        <v>85</v>
      </c>
      <c r="F527" s="55" t="s">
        <v>18</v>
      </c>
      <c r="G527" s="55" t="s">
        <v>19</v>
      </c>
      <c r="H527" s="55" t="s">
        <v>20</v>
      </c>
      <c r="I527" s="55">
        <v>3</v>
      </c>
      <c r="J527" s="55" t="s">
        <v>21</v>
      </c>
      <c r="K527" s="56">
        <v>10357.299999999999</v>
      </c>
      <c r="L527" s="55">
        <v>10000</v>
      </c>
      <c r="M527" s="55" t="s">
        <v>186</v>
      </c>
      <c r="N527" s="57">
        <f t="shared" si="24"/>
        <v>1.0357299999999998</v>
      </c>
      <c r="O527" s="57">
        <f>+VLOOKUP(J527,TC!$B$6:$C$17,2,0)*PRECIOS!N527</f>
        <v>442.44505794862999</v>
      </c>
      <c r="P527" s="55" t="str">
        <f t="shared" si="25"/>
        <v>No</v>
      </c>
      <c r="Q527" s="57">
        <f>+IF(I527=1,O527,IF(I527=2,O527/(1+MRI!$C$18),(O527/(1+MRI!$D$18))/(1+MRI!$C$18)))</f>
        <v>338.23581453560422</v>
      </c>
      <c r="R527" s="57" t="str">
        <f t="shared" si="26"/>
        <v/>
      </c>
    </row>
    <row r="528" spans="1:18" x14ac:dyDescent="0.3">
      <c r="A528" s="42">
        <v>527</v>
      </c>
      <c r="B528" s="42" t="s">
        <v>38</v>
      </c>
      <c r="C528" s="42" t="s">
        <v>234</v>
      </c>
      <c r="D528" s="42" t="s">
        <v>182</v>
      </c>
      <c r="E528" s="42" t="s">
        <v>85</v>
      </c>
      <c r="F528" s="42" t="s">
        <v>18</v>
      </c>
      <c r="G528" s="42" t="s">
        <v>19</v>
      </c>
      <c r="H528" s="42" t="s">
        <v>22</v>
      </c>
      <c r="I528" s="42">
        <v>2</v>
      </c>
      <c r="J528" s="42" t="s">
        <v>21</v>
      </c>
      <c r="K528" s="43">
        <v>8055.45</v>
      </c>
      <c r="L528" s="42">
        <v>10000</v>
      </c>
      <c r="M528" s="42" t="s">
        <v>186</v>
      </c>
      <c r="N528" s="44">
        <f t="shared" si="24"/>
        <v>0.80554499999999996</v>
      </c>
      <c r="O528" s="44">
        <f>+VLOOKUP(J528,TC!$B$6:$C$17,2,0)*PRECIOS!N528</f>
        <v>344.1142037067857</v>
      </c>
      <c r="P528" s="42" t="str">
        <f t="shared" si="25"/>
        <v>Si</v>
      </c>
      <c r="Q528" s="44">
        <f>+IF(I528=1,O528,IF(I528=2,O528/(1+MRI!$C$18),(O528/(1+MRI!$D$18))/(1+MRI!$C$18)))</f>
        <v>314.06164490575406</v>
      </c>
      <c r="R528" s="44">
        <f t="shared" si="26"/>
        <v>314.06164490575406</v>
      </c>
    </row>
    <row r="529" spans="1:18" x14ac:dyDescent="0.3">
      <c r="A529" s="55">
        <v>528</v>
      </c>
      <c r="B529" s="55" t="s">
        <v>38</v>
      </c>
      <c r="C529" s="55" t="s">
        <v>234</v>
      </c>
      <c r="D529" s="55" t="s">
        <v>182</v>
      </c>
      <c r="E529" s="55" t="s">
        <v>71</v>
      </c>
      <c r="F529" s="55" t="s">
        <v>18</v>
      </c>
      <c r="G529" s="55" t="s">
        <v>19</v>
      </c>
      <c r="H529" s="55" t="s">
        <v>20</v>
      </c>
      <c r="I529" s="55">
        <v>3</v>
      </c>
      <c r="J529" s="55" t="s">
        <v>21</v>
      </c>
      <c r="K529" s="56">
        <v>1068.4000000000001</v>
      </c>
      <c r="L529" s="55">
        <v>1000</v>
      </c>
      <c r="M529" s="55" t="s">
        <v>186</v>
      </c>
      <c r="N529" s="57">
        <f t="shared" si="24"/>
        <v>1.0684</v>
      </c>
      <c r="O529" s="57">
        <f>+VLOOKUP(J529,TC!$B$6:$C$17,2,0)*PRECIOS!N529</f>
        <v>456.40108900226539</v>
      </c>
      <c r="P529" s="55" t="str">
        <f t="shared" si="25"/>
        <v>No</v>
      </c>
      <c r="Q529" s="57">
        <f>+IF(I529=1,O529,IF(I529=2,O529/(1+MRI!$C$18),(O529/(1+MRI!$D$18))/(1+MRI!$C$18)))</f>
        <v>348.90477658254525</v>
      </c>
      <c r="R529" s="57" t="str">
        <f t="shared" si="26"/>
        <v/>
      </c>
    </row>
    <row r="530" spans="1:18" x14ac:dyDescent="0.3">
      <c r="A530" s="42">
        <v>529</v>
      </c>
      <c r="B530" s="42" t="s">
        <v>38</v>
      </c>
      <c r="C530" s="42" t="s">
        <v>234</v>
      </c>
      <c r="D530" s="42" t="s">
        <v>182</v>
      </c>
      <c r="E530" s="42" t="s">
        <v>71</v>
      </c>
      <c r="F530" s="42" t="s">
        <v>18</v>
      </c>
      <c r="G530" s="42" t="s">
        <v>19</v>
      </c>
      <c r="H530" s="42" t="s">
        <v>22</v>
      </c>
      <c r="I530" s="42">
        <v>2</v>
      </c>
      <c r="J530" s="42" t="s">
        <v>21</v>
      </c>
      <c r="K530" s="43">
        <v>805.55</v>
      </c>
      <c r="L530" s="42">
        <v>1000</v>
      </c>
      <c r="M530" s="42" t="s">
        <v>186</v>
      </c>
      <c r="N530" s="44">
        <f t="shared" si="24"/>
        <v>0.80554999999999999</v>
      </c>
      <c r="O530" s="44">
        <f>+VLOOKUP(J530,TC!$B$6:$C$17,2,0)*PRECIOS!N530</f>
        <v>344.11633961603792</v>
      </c>
      <c r="P530" s="42" t="str">
        <f t="shared" si="25"/>
        <v>Si</v>
      </c>
      <c r="Q530" s="44">
        <f>+IF(I530=1,O530,IF(I530=2,O530/(1+MRI!$C$18),(O530/(1+MRI!$D$18))/(1+MRI!$C$18)))</f>
        <v>314.06359427943846</v>
      </c>
      <c r="R530" s="44">
        <f t="shared" si="26"/>
        <v>314.06359427943846</v>
      </c>
    </row>
    <row r="531" spans="1:18" x14ac:dyDescent="0.3">
      <c r="A531" s="55">
        <v>530</v>
      </c>
      <c r="B531" s="55" t="s">
        <v>38</v>
      </c>
      <c r="C531" s="55" t="s">
        <v>234</v>
      </c>
      <c r="D531" s="55" t="s">
        <v>182</v>
      </c>
      <c r="E531" s="55" t="s">
        <v>86</v>
      </c>
      <c r="F531" s="55" t="s">
        <v>18</v>
      </c>
      <c r="G531" s="55" t="s">
        <v>19</v>
      </c>
      <c r="H531" s="55" t="s">
        <v>20</v>
      </c>
      <c r="I531" s="55">
        <v>3</v>
      </c>
      <c r="J531" s="55" t="s">
        <v>21</v>
      </c>
      <c r="K531" s="56">
        <v>20678.3</v>
      </c>
      <c r="L531" s="55">
        <v>20000</v>
      </c>
      <c r="M531" s="55" t="s">
        <v>186</v>
      </c>
      <c r="N531" s="57">
        <f t="shared" si="24"/>
        <v>1.0339149999999999</v>
      </c>
      <c r="O531" s="57">
        <f>+VLOOKUP(J531,TC!$B$6:$C$17,2,0)*PRECIOS!N531</f>
        <v>441.6697228900947</v>
      </c>
      <c r="P531" s="55" t="str">
        <f t="shared" si="25"/>
        <v>No</v>
      </c>
      <c r="Q531" s="57">
        <f>+IF(I531=1,O531,IF(I531=2,O531/(1+MRI!$C$18),(O531/(1+MRI!$D$18))/(1+MRI!$C$18)))</f>
        <v>337.64309442188528</v>
      </c>
      <c r="R531" s="57" t="str">
        <f t="shared" si="26"/>
        <v/>
      </c>
    </row>
    <row r="532" spans="1:18" x14ac:dyDescent="0.3">
      <c r="A532" s="42">
        <v>531</v>
      </c>
      <c r="B532" s="42" t="s">
        <v>38</v>
      </c>
      <c r="C532" s="42" t="s">
        <v>234</v>
      </c>
      <c r="D532" s="42" t="s">
        <v>182</v>
      </c>
      <c r="E532" s="42" t="s">
        <v>86</v>
      </c>
      <c r="F532" s="42" t="s">
        <v>18</v>
      </c>
      <c r="G532" s="42" t="s">
        <v>19</v>
      </c>
      <c r="H532" s="42" t="s">
        <v>22</v>
      </c>
      <c r="I532" s="42">
        <v>2</v>
      </c>
      <c r="J532" s="42" t="s">
        <v>21</v>
      </c>
      <c r="K532" s="43">
        <v>16110.9</v>
      </c>
      <c r="L532" s="42">
        <v>20000</v>
      </c>
      <c r="M532" s="42" t="s">
        <v>186</v>
      </c>
      <c r="N532" s="44">
        <f t="shared" si="24"/>
        <v>0.80554499999999996</v>
      </c>
      <c r="O532" s="44">
        <f>+VLOOKUP(J532,TC!$B$6:$C$17,2,0)*PRECIOS!N532</f>
        <v>344.1142037067857</v>
      </c>
      <c r="P532" s="42" t="str">
        <f t="shared" si="25"/>
        <v>Si</v>
      </c>
      <c r="Q532" s="44">
        <f>+IF(I532=1,O532,IF(I532=2,O532/(1+MRI!$C$18),(O532/(1+MRI!$D$18))/(1+MRI!$C$18)))</f>
        <v>314.06164490575406</v>
      </c>
      <c r="R532" s="44">
        <f t="shared" si="26"/>
        <v>314.06164490575406</v>
      </c>
    </row>
    <row r="533" spans="1:18" x14ac:dyDescent="0.3">
      <c r="A533" s="55">
        <v>532</v>
      </c>
      <c r="B533" s="55" t="s">
        <v>38</v>
      </c>
      <c r="C533" s="55" t="s">
        <v>234</v>
      </c>
      <c r="D533" s="55" t="s">
        <v>182</v>
      </c>
      <c r="E533" s="55" t="s">
        <v>87</v>
      </c>
      <c r="F533" s="55" t="s">
        <v>18</v>
      </c>
      <c r="G533" s="55" t="s">
        <v>19</v>
      </c>
      <c r="H533" s="55" t="s">
        <v>20</v>
      </c>
      <c r="I533" s="55">
        <v>3</v>
      </c>
      <c r="J533" s="55" t="s">
        <v>21</v>
      </c>
      <c r="K533" s="56">
        <v>2616.5</v>
      </c>
      <c r="L533" s="55">
        <v>2500</v>
      </c>
      <c r="M533" s="55" t="s">
        <v>186</v>
      </c>
      <c r="N533" s="57">
        <f t="shared" si="24"/>
        <v>1.0466</v>
      </c>
      <c r="O533" s="57">
        <f>+VLOOKUP(J533,TC!$B$6:$C$17,2,0)*PRECIOS!N533</f>
        <v>447.08852466283315</v>
      </c>
      <c r="P533" s="55" t="str">
        <f t="shared" si="25"/>
        <v>No</v>
      </c>
      <c r="Q533" s="57">
        <f>+IF(I533=1,O533,IF(I533=2,O533/(1+MRI!$C$18),(O533/(1+MRI!$D$18))/(1+MRI!$C$18)))</f>
        <v>341.7856038668026</v>
      </c>
      <c r="R533" s="57" t="str">
        <f t="shared" si="26"/>
        <v/>
      </c>
    </row>
    <row r="534" spans="1:18" x14ac:dyDescent="0.3">
      <c r="A534" s="42">
        <v>533</v>
      </c>
      <c r="B534" s="42" t="s">
        <v>38</v>
      </c>
      <c r="C534" s="42" t="s">
        <v>234</v>
      </c>
      <c r="D534" s="42" t="s">
        <v>182</v>
      </c>
      <c r="E534" s="42" t="s">
        <v>87</v>
      </c>
      <c r="F534" s="42" t="s">
        <v>18</v>
      </c>
      <c r="G534" s="42" t="s">
        <v>19</v>
      </c>
      <c r="H534" s="42" t="s">
        <v>22</v>
      </c>
      <c r="I534" s="42">
        <v>2</v>
      </c>
      <c r="J534" s="42" t="s">
        <v>21</v>
      </c>
      <c r="K534" s="43">
        <v>2013.86</v>
      </c>
      <c r="L534" s="42">
        <v>2500</v>
      </c>
      <c r="M534" s="42" t="s">
        <v>186</v>
      </c>
      <c r="N534" s="44">
        <f t="shared" si="24"/>
        <v>0.80554399999999993</v>
      </c>
      <c r="O534" s="44">
        <f>+VLOOKUP(J534,TC!$B$6:$C$17,2,0)*PRECIOS!N534</f>
        <v>344.1137765249353</v>
      </c>
      <c r="P534" s="42" t="str">
        <f t="shared" si="25"/>
        <v>Si</v>
      </c>
      <c r="Q534" s="44">
        <f>+IF(I534=1,O534,IF(I534=2,O534/(1+MRI!$C$18),(O534/(1+MRI!$D$18))/(1+MRI!$C$18)))</f>
        <v>314.06125503101725</v>
      </c>
      <c r="R534" s="44">
        <f t="shared" si="26"/>
        <v>314.06125503101725</v>
      </c>
    </row>
    <row r="535" spans="1:18" x14ac:dyDescent="0.3">
      <c r="A535" s="55">
        <v>534</v>
      </c>
      <c r="B535" s="55" t="s">
        <v>38</v>
      </c>
      <c r="C535" s="55" t="s">
        <v>234</v>
      </c>
      <c r="D535" s="55" t="s">
        <v>182</v>
      </c>
      <c r="E535" s="55" t="s">
        <v>88</v>
      </c>
      <c r="F535" s="55" t="s">
        <v>18</v>
      </c>
      <c r="G535" s="55" t="s">
        <v>19</v>
      </c>
      <c r="H535" s="55" t="s">
        <v>20</v>
      </c>
      <c r="I535" s="55">
        <v>3</v>
      </c>
      <c r="J535" s="55" t="s">
        <v>21</v>
      </c>
      <c r="K535" s="56">
        <v>5196.8</v>
      </c>
      <c r="L535" s="55">
        <v>5000</v>
      </c>
      <c r="M535" s="55" t="s">
        <v>186</v>
      </c>
      <c r="N535" s="57">
        <f t="shared" si="24"/>
        <v>1.0393600000000001</v>
      </c>
      <c r="O535" s="57">
        <f>+VLOOKUP(J535,TC!$B$6:$C$17,2,0)*PRECIOS!N535</f>
        <v>443.99572806570069</v>
      </c>
      <c r="P535" s="55" t="str">
        <f t="shared" si="25"/>
        <v>No</v>
      </c>
      <c r="Q535" s="57">
        <f>+IF(I535=1,O535,IF(I535=2,O535/(1+MRI!$C$18),(O535/(1+MRI!$D$18))/(1+MRI!$C$18)))</f>
        <v>339.42125476304221</v>
      </c>
      <c r="R535" s="57" t="str">
        <f t="shared" si="26"/>
        <v/>
      </c>
    </row>
    <row r="536" spans="1:18" x14ac:dyDescent="0.3">
      <c r="A536" s="42">
        <v>535</v>
      </c>
      <c r="B536" s="42" t="s">
        <v>38</v>
      </c>
      <c r="C536" s="42" t="s">
        <v>234</v>
      </c>
      <c r="D536" s="42" t="s">
        <v>182</v>
      </c>
      <c r="E536" s="42" t="s">
        <v>88</v>
      </c>
      <c r="F536" s="42" t="s">
        <v>18</v>
      </c>
      <c r="G536" s="42" t="s">
        <v>19</v>
      </c>
      <c r="H536" s="42" t="s">
        <v>22</v>
      </c>
      <c r="I536" s="42">
        <v>2</v>
      </c>
      <c r="J536" s="42" t="s">
        <v>21</v>
      </c>
      <c r="K536" s="43">
        <v>4027.73</v>
      </c>
      <c r="L536" s="42">
        <v>5000</v>
      </c>
      <c r="M536" s="42" t="s">
        <v>186</v>
      </c>
      <c r="N536" s="44">
        <f t="shared" si="24"/>
        <v>0.80554599999999998</v>
      </c>
      <c r="O536" s="44">
        <f>+VLOOKUP(J536,TC!$B$6:$C$17,2,0)*PRECIOS!N536</f>
        <v>344.11463088863616</v>
      </c>
      <c r="P536" s="42" t="str">
        <f t="shared" si="25"/>
        <v>Si</v>
      </c>
      <c r="Q536" s="44">
        <f>+IF(I536=1,O536,IF(I536=2,O536/(1+MRI!$C$18),(O536/(1+MRI!$D$18))/(1+MRI!$C$18)))</f>
        <v>314.06203478049093</v>
      </c>
      <c r="R536" s="44">
        <f t="shared" si="26"/>
        <v>314.06203478049093</v>
      </c>
    </row>
    <row r="537" spans="1:18" x14ac:dyDescent="0.3">
      <c r="A537" s="55">
        <v>536</v>
      </c>
      <c r="B537" s="55" t="s">
        <v>38</v>
      </c>
      <c r="C537" s="55" t="s">
        <v>234</v>
      </c>
      <c r="D537" s="55" t="s">
        <v>182</v>
      </c>
      <c r="E537" s="55" t="s">
        <v>62</v>
      </c>
      <c r="F537" s="55" t="s">
        <v>18</v>
      </c>
      <c r="G537" s="55" t="s">
        <v>19</v>
      </c>
      <c r="H537" s="55" t="s">
        <v>20</v>
      </c>
      <c r="I537" s="55">
        <v>3</v>
      </c>
      <c r="J537" s="55" t="s">
        <v>21</v>
      </c>
      <c r="K537" s="56">
        <v>10248.9</v>
      </c>
      <c r="L537" s="55">
        <v>10000</v>
      </c>
      <c r="M537" s="55" t="s">
        <v>186</v>
      </c>
      <c r="N537" s="57">
        <f t="shared" si="24"/>
        <v>1.0248899999999999</v>
      </c>
      <c r="O537" s="57">
        <f>+VLOOKUP(J537,TC!$B$6:$C$17,2,0)*PRECIOS!N537</f>
        <v>437.81440668993986</v>
      </c>
      <c r="P537" s="55" t="str">
        <f t="shared" si="25"/>
        <v>No</v>
      </c>
      <c r="Q537" s="57">
        <f>+IF(I537=1,O537,IF(I537=2,O537/(1+MRI!$C$18),(O537/(1+MRI!$D$18))/(1+MRI!$C$18)))</f>
        <v>334.69582223107903</v>
      </c>
      <c r="R537" s="57" t="str">
        <f t="shared" si="26"/>
        <v/>
      </c>
    </row>
    <row r="538" spans="1:18" x14ac:dyDescent="0.3">
      <c r="A538" s="42">
        <v>537</v>
      </c>
      <c r="B538" s="42" t="s">
        <v>38</v>
      </c>
      <c r="C538" s="42" t="s">
        <v>234</v>
      </c>
      <c r="D538" s="42" t="s">
        <v>182</v>
      </c>
      <c r="E538" s="42" t="s">
        <v>62</v>
      </c>
      <c r="F538" s="42" t="s">
        <v>18</v>
      </c>
      <c r="G538" s="42" t="s">
        <v>19</v>
      </c>
      <c r="H538" s="42" t="s">
        <v>22</v>
      </c>
      <c r="I538" s="42">
        <v>2</v>
      </c>
      <c r="J538" s="42" t="s">
        <v>21</v>
      </c>
      <c r="K538" s="43">
        <v>8009.9</v>
      </c>
      <c r="L538" s="42">
        <v>10000</v>
      </c>
      <c r="M538" s="42" t="s">
        <v>186</v>
      </c>
      <c r="N538" s="44">
        <f t="shared" si="24"/>
        <v>0.80098999999999998</v>
      </c>
      <c r="O538" s="44">
        <f>+VLOOKUP(J538,TC!$B$6:$C$17,2,0)*PRECIOS!N538</f>
        <v>342.16839037806494</v>
      </c>
      <c r="P538" s="42" t="str">
        <f t="shared" si="25"/>
        <v>Si</v>
      </c>
      <c r="Q538" s="44">
        <f>+IF(I538=1,O538,IF(I538=2,O538/(1+MRI!$C$18),(O538/(1+MRI!$D$18))/(1+MRI!$C$18)))</f>
        <v>312.28576547934625</v>
      </c>
      <c r="R538" s="44">
        <f t="shared" si="26"/>
        <v>312.28576547934625</v>
      </c>
    </row>
    <row r="539" spans="1:18" x14ac:dyDescent="0.3">
      <c r="A539" s="55">
        <v>538</v>
      </c>
      <c r="B539" s="55" t="s">
        <v>38</v>
      </c>
      <c r="C539" s="55" t="s">
        <v>234</v>
      </c>
      <c r="D539" s="55" t="s">
        <v>182</v>
      </c>
      <c r="E539" s="55" t="s">
        <v>61</v>
      </c>
      <c r="F539" s="55" t="s">
        <v>18</v>
      </c>
      <c r="G539" s="55" t="s">
        <v>19</v>
      </c>
      <c r="H539" s="55" t="s">
        <v>20</v>
      </c>
      <c r="I539" s="55">
        <v>3</v>
      </c>
      <c r="J539" s="55" t="s">
        <v>21</v>
      </c>
      <c r="K539" s="56">
        <v>20461.5</v>
      </c>
      <c r="L539" s="55">
        <v>20000</v>
      </c>
      <c r="M539" s="55" t="s">
        <v>186</v>
      </c>
      <c r="N539" s="57">
        <f t="shared" si="24"/>
        <v>1.023075</v>
      </c>
      <c r="O539" s="57">
        <f>+VLOOKUP(J539,TC!$B$6:$C$17,2,0)*PRECIOS!N539</f>
        <v>437.03907163140457</v>
      </c>
      <c r="P539" s="55" t="str">
        <f t="shared" si="25"/>
        <v>No</v>
      </c>
      <c r="Q539" s="57">
        <f>+IF(I539=1,O539,IF(I539=2,O539/(1+MRI!$C$18),(O539/(1+MRI!$D$18))/(1+MRI!$C$18)))</f>
        <v>334.10310211736009</v>
      </c>
      <c r="R539" s="57" t="str">
        <f t="shared" si="26"/>
        <v/>
      </c>
    </row>
    <row r="540" spans="1:18" x14ac:dyDescent="0.3">
      <c r="A540" s="42">
        <v>539</v>
      </c>
      <c r="B540" s="42" t="s">
        <v>38</v>
      </c>
      <c r="C540" s="42" t="s">
        <v>234</v>
      </c>
      <c r="D540" s="42" t="s">
        <v>182</v>
      </c>
      <c r="E540" s="42" t="s">
        <v>61</v>
      </c>
      <c r="F540" s="42" t="s">
        <v>18</v>
      </c>
      <c r="G540" s="42" t="s">
        <v>19</v>
      </c>
      <c r="H540" s="42" t="s">
        <v>22</v>
      </c>
      <c r="I540" s="42">
        <v>2</v>
      </c>
      <c r="J540" s="42" t="s">
        <v>21</v>
      </c>
      <c r="K540" s="43">
        <v>16019.8</v>
      </c>
      <c r="L540" s="42">
        <v>20000</v>
      </c>
      <c r="M540" s="42" t="s">
        <v>186</v>
      </c>
      <c r="N540" s="44">
        <f t="shared" si="24"/>
        <v>0.80098999999999998</v>
      </c>
      <c r="O540" s="44">
        <f>+VLOOKUP(J540,TC!$B$6:$C$17,2,0)*PRECIOS!N540</f>
        <v>342.16839037806494</v>
      </c>
      <c r="P540" s="42" t="str">
        <f t="shared" si="25"/>
        <v>Si</v>
      </c>
      <c r="Q540" s="44">
        <f>+IF(I540=1,O540,IF(I540=2,O540/(1+MRI!$C$18),(O540/(1+MRI!$D$18))/(1+MRI!$C$18)))</f>
        <v>312.28576547934625</v>
      </c>
      <c r="R540" s="44">
        <f t="shared" si="26"/>
        <v>312.28576547934625</v>
      </c>
    </row>
    <row r="541" spans="1:18" x14ac:dyDescent="0.3">
      <c r="A541" s="55">
        <v>540</v>
      </c>
      <c r="B541" s="55" t="s">
        <v>38</v>
      </c>
      <c r="C541" s="55" t="s">
        <v>234</v>
      </c>
      <c r="D541" s="55" t="s">
        <v>182</v>
      </c>
      <c r="E541" s="55" t="s">
        <v>56</v>
      </c>
      <c r="F541" s="55" t="s">
        <v>18</v>
      </c>
      <c r="G541" s="55" t="s">
        <v>19</v>
      </c>
      <c r="H541" s="55" t="s">
        <v>20</v>
      </c>
      <c r="I541" s="55">
        <v>3</v>
      </c>
      <c r="J541" s="55" t="s">
        <v>21</v>
      </c>
      <c r="K541" s="56">
        <v>2589.4</v>
      </c>
      <c r="L541" s="55">
        <v>2500</v>
      </c>
      <c r="M541" s="55" t="s">
        <v>186</v>
      </c>
      <c r="N541" s="57">
        <f t="shared" si="24"/>
        <v>1.03576</v>
      </c>
      <c r="O541" s="57">
        <f>+VLOOKUP(J541,TC!$B$6:$C$17,2,0)*PRECIOS!N541</f>
        <v>442.45787340414302</v>
      </c>
      <c r="P541" s="55" t="str">
        <f t="shared" si="25"/>
        <v>No</v>
      </c>
      <c r="Q541" s="57">
        <f>+IF(I541=1,O541,IF(I541=2,O541/(1+MRI!$C$18),(O541/(1+MRI!$D$18))/(1+MRI!$C$18)))</f>
        <v>338.2456115622773</v>
      </c>
      <c r="R541" s="57" t="str">
        <f t="shared" si="26"/>
        <v/>
      </c>
    </row>
    <row r="542" spans="1:18" x14ac:dyDescent="0.3">
      <c r="A542" s="42">
        <v>541</v>
      </c>
      <c r="B542" s="42" t="s">
        <v>38</v>
      </c>
      <c r="C542" s="42" t="s">
        <v>234</v>
      </c>
      <c r="D542" s="42" t="s">
        <v>182</v>
      </c>
      <c r="E542" s="42" t="s">
        <v>56</v>
      </c>
      <c r="F542" s="42" t="s">
        <v>18</v>
      </c>
      <c r="G542" s="42" t="s">
        <v>19</v>
      </c>
      <c r="H542" s="42" t="s">
        <v>22</v>
      </c>
      <c r="I542" s="42">
        <v>2</v>
      </c>
      <c r="J542" s="42" t="s">
        <v>21</v>
      </c>
      <c r="K542" s="43">
        <v>2002.48</v>
      </c>
      <c r="L542" s="42">
        <v>2500</v>
      </c>
      <c r="M542" s="42" t="s">
        <v>186</v>
      </c>
      <c r="N542" s="44">
        <f t="shared" si="24"/>
        <v>0.80099200000000004</v>
      </c>
      <c r="O542" s="44">
        <f>+VLOOKUP(J542,TC!$B$6:$C$17,2,0)*PRECIOS!N542</f>
        <v>342.16924474176579</v>
      </c>
      <c r="P542" s="42" t="str">
        <f t="shared" si="25"/>
        <v>Si</v>
      </c>
      <c r="Q542" s="44">
        <f>+IF(I542=1,O542,IF(I542=2,O542/(1+MRI!$C$18),(O542/(1+MRI!$D$18))/(1+MRI!$C$18)))</f>
        <v>312.28654522881999</v>
      </c>
      <c r="R542" s="44">
        <f t="shared" si="26"/>
        <v>312.28654522881999</v>
      </c>
    </row>
    <row r="543" spans="1:18" x14ac:dyDescent="0.3">
      <c r="A543" s="55">
        <v>542</v>
      </c>
      <c r="B543" s="55" t="s">
        <v>38</v>
      </c>
      <c r="C543" s="55" t="s">
        <v>234</v>
      </c>
      <c r="D543" s="55" t="s">
        <v>182</v>
      </c>
      <c r="E543" s="55" t="s">
        <v>57</v>
      </c>
      <c r="F543" s="55" t="s">
        <v>18</v>
      </c>
      <c r="G543" s="55" t="s">
        <v>19</v>
      </c>
      <c r="H543" s="55" t="s">
        <v>20</v>
      </c>
      <c r="I543" s="55">
        <v>3</v>
      </c>
      <c r="J543" s="55" t="s">
        <v>21</v>
      </c>
      <c r="K543" s="56">
        <v>5142.6000000000004</v>
      </c>
      <c r="L543" s="55">
        <v>5000</v>
      </c>
      <c r="M543" s="55" t="s">
        <v>186</v>
      </c>
      <c r="N543" s="57">
        <f t="shared" si="24"/>
        <v>1.0285200000000001</v>
      </c>
      <c r="O543" s="57">
        <f>+VLOOKUP(J543,TC!$B$6:$C$17,2,0)*PRECIOS!N543</f>
        <v>439.36507680701055</v>
      </c>
      <c r="P543" s="55" t="str">
        <f t="shared" si="25"/>
        <v>No</v>
      </c>
      <c r="Q543" s="57">
        <f>+IF(I543=1,O543,IF(I543=2,O543/(1+MRI!$C$18),(O543/(1+MRI!$D$18))/(1+MRI!$C$18)))</f>
        <v>335.88126245851697</v>
      </c>
      <c r="R543" s="57" t="str">
        <f t="shared" si="26"/>
        <v/>
      </c>
    </row>
    <row r="544" spans="1:18" x14ac:dyDescent="0.3">
      <c r="A544" s="42">
        <v>543</v>
      </c>
      <c r="B544" s="42" t="s">
        <v>38</v>
      </c>
      <c r="C544" s="42" t="s">
        <v>234</v>
      </c>
      <c r="D544" s="42" t="s">
        <v>182</v>
      </c>
      <c r="E544" s="42" t="s">
        <v>57</v>
      </c>
      <c r="F544" s="42" t="s">
        <v>18</v>
      </c>
      <c r="G544" s="42" t="s">
        <v>19</v>
      </c>
      <c r="H544" s="42" t="s">
        <v>22</v>
      </c>
      <c r="I544" s="42">
        <v>2</v>
      </c>
      <c r="J544" s="42" t="s">
        <v>21</v>
      </c>
      <c r="K544" s="43">
        <v>4004.95</v>
      </c>
      <c r="L544" s="42">
        <v>5000</v>
      </c>
      <c r="M544" s="42" t="s">
        <v>186</v>
      </c>
      <c r="N544" s="44">
        <f t="shared" si="24"/>
        <v>0.80098999999999998</v>
      </c>
      <c r="O544" s="44">
        <f>+VLOOKUP(J544,TC!$B$6:$C$17,2,0)*PRECIOS!N544</f>
        <v>342.16839037806494</v>
      </c>
      <c r="P544" s="42" t="str">
        <f t="shared" si="25"/>
        <v>Si</v>
      </c>
      <c r="Q544" s="44">
        <f>+IF(I544=1,O544,IF(I544=2,O544/(1+MRI!$C$18),(O544/(1+MRI!$D$18))/(1+MRI!$C$18)))</f>
        <v>312.28576547934625</v>
      </c>
      <c r="R544" s="44">
        <f t="shared" si="26"/>
        <v>312.28576547934625</v>
      </c>
    </row>
    <row r="545" spans="1:18" x14ac:dyDescent="0.3">
      <c r="A545" s="55">
        <v>544</v>
      </c>
      <c r="B545" s="55" t="s">
        <v>38</v>
      </c>
      <c r="C545" s="55" t="s">
        <v>235</v>
      </c>
      <c r="D545" s="55" t="s">
        <v>182</v>
      </c>
      <c r="E545" s="55" t="s">
        <v>57</v>
      </c>
      <c r="F545" s="55" t="s">
        <v>101</v>
      </c>
      <c r="G545" s="55" t="s">
        <v>136</v>
      </c>
      <c r="H545" s="55" t="s">
        <v>20</v>
      </c>
      <c r="I545" s="55">
        <v>3</v>
      </c>
      <c r="J545" s="55" t="s">
        <v>93</v>
      </c>
      <c r="K545" s="56">
        <v>4560.75</v>
      </c>
      <c r="L545" s="55">
        <v>5000</v>
      </c>
      <c r="M545" s="55" t="s">
        <v>186</v>
      </c>
      <c r="N545" s="57">
        <f t="shared" si="24"/>
        <v>0.91215000000000002</v>
      </c>
      <c r="O545" s="57">
        <f>+VLOOKUP(J545,TC!$B$6:$C$17,2,0)*PRECIOS!N545</f>
        <v>1031.499039781485</v>
      </c>
      <c r="P545" s="55" t="str">
        <f t="shared" si="25"/>
        <v>Si</v>
      </c>
      <c r="Q545" s="57">
        <f>+IF(I545=1,O545,IF(I545=2,O545/(1+MRI!$C$18),(O545/(1+MRI!$D$18))/(1+MRI!$C$18)))</f>
        <v>788.54970045499306</v>
      </c>
      <c r="R545" s="57">
        <f t="shared" si="26"/>
        <v>788.54970045499306</v>
      </c>
    </row>
    <row r="546" spans="1:18" x14ac:dyDescent="0.3">
      <c r="A546" s="42">
        <v>545</v>
      </c>
      <c r="B546" s="42" t="s">
        <v>38</v>
      </c>
      <c r="C546" s="42" t="s">
        <v>236</v>
      </c>
      <c r="D546" s="42" t="s">
        <v>182</v>
      </c>
      <c r="E546" s="42" t="s">
        <v>63</v>
      </c>
      <c r="F546" s="42" t="s">
        <v>108</v>
      </c>
      <c r="G546" s="42" t="s">
        <v>178</v>
      </c>
      <c r="H546" s="42" t="s">
        <v>11</v>
      </c>
      <c r="I546" s="42">
        <v>1</v>
      </c>
      <c r="J546" s="42" t="s">
        <v>94</v>
      </c>
      <c r="K546" s="43">
        <v>1649</v>
      </c>
      <c r="L546" s="42">
        <v>2500</v>
      </c>
      <c r="M546" s="42" t="s">
        <v>186</v>
      </c>
      <c r="N546" s="44">
        <f t="shared" si="24"/>
        <v>0.65959999999999996</v>
      </c>
      <c r="O546" s="44">
        <f>+VLOOKUP(J546,TC!$B$6:$C$17,2,0)*PRECIOS!N546</f>
        <v>163.46401533308207</v>
      </c>
      <c r="P546" s="42" t="str">
        <f t="shared" si="25"/>
        <v>Si</v>
      </c>
      <c r="Q546" s="44">
        <f>+IF(I546=1,O546,IF(I546=2,O546/(1+MRI!$C$18),(O546/(1+MRI!$D$18))/(1+MRI!$C$18)))</f>
        <v>163.46401533308207</v>
      </c>
      <c r="R546" s="44">
        <f t="shared" si="26"/>
        <v>163.46401533308207</v>
      </c>
    </row>
    <row r="547" spans="1:18" x14ac:dyDescent="0.3">
      <c r="A547" s="55">
        <v>546</v>
      </c>
      <c r="B547" s="55" t="s">
        <v>38</v>
      </c>
      <c r="C547" s="55" t="s">
        <v>236</v>
      </c>
      <c r="D547" s="55" t="s">
        <v>182</v>
      </c>
      <c r="E547" s="55" t="s">
        <v>65</v>
      </c>
      <c r="F547" s="55" t="s">
        <v>108</v>
      </c>
      <c r="G547" s="55" t="s">
        <v>178</v>
      </c>
      <c r="H547" s="55" t="s">
        <v>11</v>
      </c>
      <c r="I547" s="55">
        <v>1</v>
      </c>
      <c r="J547" s="55" t="s">
        <v>94</v>
      </c>
      <c r="K547" s="56">
        <v>3298</v>
      </c>
      <c r="L547" s="55">
        <v>5000</v>
      </c>
      <c r="M547" s="55" t="s">
        <v>186</v>
      </c>
      <c r="N547" s="57">
        <f t="shared" si="24"/>
        <v>0.65959999999999996</v>
      </c>
      <c r="O547" s="57">
        <f>+VLOOKUP(J547,TC!$B$6:$C$17,2,0)*PRECIOS!N547</f>
        <v>163.46401533308207</v>
      </c>
      <c r="P547" s="55" t="str">
        <f t="shared" si="25"/>
        <v>Si</v>
      </c>
      <c r="Q547" s="57">
        <f>+IF(I547=1,O547,IF(I547=2,O547/(1+MRI!$C$18),(O547/(1+MRI!$D$18))/(1+MRI!$C$18)))</f>
        <v>163.46401533308207</v>
      </c>
      <c r="R547" s="57">
        <f t="shared" si="26"/>
        <v>163.46401533308207</v>
      </c>
    </row>
    <row r="548" spans="1:18" x14ac:dyDescent="0.3">
      <c r="A548" s="42">
        <v>547</v>
      </c>
      <c r="B548" s="42" t="s">
        <v>36</v>
      </c>
      <c r="C548" s="42" t="s">
        <v>237</v>
      </c>
      <c r="D548" s="42" t="s">
        <v>183</v>
      </c>
      <c r="E548" s="42" t="s">
        <v>37</v>
      </c>
      <c r="F548" s="42" t="s">
        <v>9</v>
      </c>
      <c r="G548" s="42" t="s">
        <v>10</v>
      </c>
      <c r="H548" s="42" t="s">
        <v>20</v>
      </c>
      <c r="I548" s="42">
        <v>3</v>
      </c>
      <c r="J548" s="42" t="s">
        <v>12</v>
      </c>
      <c r="K548" s="43">
        <v>1205.3399999999999</v>
      </c>
      <c r="L548" s="42">
        <v>300</v>
      </c>
      <c r="M548" s="42" t="s">
        <v>186</v>
      </c>
      <c r="N548" s="44">
        <f t="shared" si="24"/>
        <v>4.0177999999999994</v>
      </c>
      <c r="O548" s="44">
        <f>+VLOOKUP(J548,TC!$B$6:$C$17,2,0)*PRECIOS!N548</f>
        <v>3386.4811706759351</v>
      </c>
      <c r="P548" s="42" t="str">
        <f t="shared" si="25"/>
        <v>No</v>
      </c>
      <c r="Q548" s="44">
        <f>+IF(I548=1,O548,IF(I548=2,O548/(1+MRI!$C$18),(O548/(1+MRI!$D$18))/(1+MRI!$C$18)))</f>
        <v>2588.8620442135243</v>
      </c>
      <c r="R548" s="44" t="str">
        <f t="shared" si="26"/>
        <v/>
      </c>
    </row>
    <row r="549" spans="1:18" x14ac:dyDescent="0.3">
      <c r="A549" s="55">
        <v>548</v>
      </c>
      <c r="B549" s="55" t="s">
        <v>36</v>
      </c>
      <c r="C549" s="55" t="s">
        <v>237</v>
      </c>
      <c r="D549" s="55" t="s">
        <v>183</v>
      </c>
      <c r="E549" s="55" t="s">
        <v>37</v>
      </c>
      <c r="F549" s="55" t="s">
        <v>9</v>
      </c>
      <c r="G549" s="55" t="s">
        <v>10</v>
      </c>
      <c r="H549" s="55" t="s">
        <v>11</v>
      </c>
      <c r="I549" s="55">
        <v>1</v>
      </c>
      <c r="J549" s="55" t="s">
        <v>12</v>
      </c>
      <c r="K549" s="56">
        <v>871.89</v>
      </c>
      <c r="L549" s="55">
        <v>300</v>
      </c>
      <c r="M549" s="55" t="s">
        <v>186</v>
      </c>
      <c r="N549" s="57">
        <f t="shared" si="24"/>
        <v>2.9062999999999999</v>
      </c>
      <c r="O549" s="57">
        <f>+VLOOKUP(J549,TC!$B$6:$C$17,2,0)*PRECIOS!N549</f>
        <v>2449.6316955387206</v>
      </c>
      <c r="P549" s="55" t="str">
        <f t="shared" si="25"/>
        <v>Si</v>
      </c>
      <c r="Q549" s="57">
        <f>+IF(I549=1,O549,IF(I549=2,O549/(1+MRI!$C$18),(O549/(1+MRI!$D$18))/(1+MRI!$C$18)))</f>
        <v>2449.6316955387206</v>
      </c>
      <c r="R549" s="57">
        <f t="shared" si="26"/>
        <v>2449.6316955387206</v>
      </c>
    </row>
    <row r="550" spans="1:18" x14ac:dyDescent="0.3">
      <c r="A550" s="42">
        <v>549</v>
      </c>
      <c r="B550" s="42" t="s">
        <v>36</v>
      </c>
      <c r="C550" s="42" t="s">
        <v>237</v>
      </c>
      <c r="D550" s="42" t="s">
        <v>183</v>
      </c>
      <c r="E550" s="42" t="s">
        <v>37</v>
      </c>
      <c r="F550" s="42" t="s">
        <v>9</v>
      </c>
      <c r="G550" s="42" t="s">
        <v>10</v>
      </c>
      <c r="H550" s="42" t="s">
        <v>13</v>
      </c>
      <c r="I550" s="42">
        <v>2</v>
      </c>
      <c r="J550" s="42" t="s">
        <v>12</v>
      </c>
      <c r="K550" s="43">
        <v>684.17</v>
      </c>
      <c r="L550" s="42">
        <v>300</v>
      </c>
      <c r="M550" s="42" t="s">
        <v>186</v>
      </c>
      <c r="N550" s="44">
        <f t="shared" si="24"/>
        <v>2.2805666666666666</v>
      </c>
      <c r="O550" s="44">
        <f>+VLOOKUP(J550,TC!$B$6:$C$17,2,0)*PRECIOS!N550</f>
        <v>1922.2201391651774</v>
      </c>
      <c r="P550" s="42" t="str">
        <f t="shared" si="25"/>
        <v>No</v>
      </c>
      <c r="Q550" s="44">
        <f>+IF(I550=1,O550,IF(I550=2,O550/(1+MRI!$C$18),(O550/(1+MRI!$D$18))/(1+MRI!$C$18)))</f>
        <v>1754.3467031415614</v>
      </c>
      <c r="R550" s="44" t="str">
        <f t="shared" si="26"/>
        <v/>
      </c>
    </row>
    <row r="551" spans="1:18" x14ac:dyDescent="0.3">
      <c r="A551" s="55">
        <v>550</v>
      </c>
      <c r="B551" s="55" t="s">
        <v>36</v>
      </c>
      <c r="C551" s="55" t="s">
        <v>237</v>
      </c>
      <c r="D551" s="55" t="s">
        <v>183</v>
      </c>
      <c r="E551" s="55" t="s">
        <v>76</v>
      </c>
      <c r="F551" s="55" t="s">
        <v>9</v>
      </c>
      <c r="G551" s="55" t="s">
        <v>10</v>
      </c>
      <c r="H551" s="55" t="s">
        <v>20</v>
      </c>
      <c r="I551" s="55">
        <v>3</v>
      </c>
      <c r="J551" s="55" t="s">
        <v>12</v>
      </c>
      <c r="K551" s="56">
        <v>3746.42</v>
      </c>
      <c r="L551" s="55">
        <v>3800</v>
      </c>
      <c r="M551" s="55" t="s">
        <v>186</v>
      </c>
      <c r="N551" s="57">
        <f t="shared" si="24"/>
        <v>0.9859</v>
      </c>
      <c r="O551" s="57">
        <f>+VLOOKUP(J551,TC!$B$6:$C$17,2,0)*PRECIOS!N551</f>
        <v>830.98506301194811</v>
      </c>
      <c r="P551" s="55" t="str">
        <f t="shared" si="25"/>
        <v>No</v>
      </c>
      <c r="Q551" s="57">
        <f>+IF(I551=1,O551,IF(I551=2,O551/(1+MRI!$C$18),(O551/(1+MRI!$D$18))/(1+MRI!$C$18)))</f>
        <v>635.26285265322167</v>
      </c>
      <c r="R551" s="57" t="str">
        <f t="shared" si="26"/>
        <v/>
      </c>
    </row>
    <row r="552" spans="1:18" x14ac:dyDescent="0.3">
      <c r="A552" s="42">
        <v>551</v>
      </c>
      <c r="B552" s="42" t="s">
        <v>36</v>
      </c>
      <c r="C552" s="42" t="s">
        <v>237</v>
      </c>
      <c r="D552" s="42" t="s">
        <v>183</v>
      </c>
      <c r="E552" s="42" t="s">
        <v>76</v>
      </c>
      <c r="F552" s="42" t="s">
        <v>9</v>
      </c>
      <c r="G552" s="42" t="s">
        <v>10</v>
      </c>
      <c r="H552" s="42" t="s">
        <v>11</v>
      </c>
      <c r="I552" s="42">
        <v>1</v>
      </c>
      <c r="J552" s="42" t="s">
        <v>12</v>
      </c>
      <c r="K552" s="43">
        <v>2710</v>
      </c>
      <c r="L552" s="42">
        <v>3800</v>
      </c>
      <c r="M552" s="42" t="s">
        <v>186</v>
      </c>
      <c r="N552" s="44">
        <f t="shared" si="24"/>
        <v>0.7131578947368421</v>
      </c>
      <c r="O552" s="44">
        <f>+VLOOKUP(J552,TC!$B$6:$C$17,2,0)*PRECIOS!N552</f>
        <v>601.09905476758593</v>
      </c>
      <c r="P552" s="42" t="str">
        <f t="shared" si="25"/>
        <v>Si</v>
      </c>
      <c r="Q552" s="44">
        <f>+IF(I552=1,O552,IF(I552=2,O552/(1+MRI!$C$18),(O552/(1+MRI!$D$18))/(1+MRI!$C$18)))</f>
        <v>601.09905476758593</v>
      </c>
      <c r="R552" s="44">
        <f t="shared" si="26"/>
        <v>601.09905476758593</v>
      </c>
    </row>
    <row r="553" spans="1:18" x14ac:dyDescent="0.3">
      <c r="A553" s="55">
        <v>552</v>
      </c>
      <c r="B553" s="55" t="s">
        <v>36</v>
      </c>
      <c r="C553" s="55" t="s">
        <v>237</v>
      </c>
      <c r="D553" s="55" t="s">
        <v>183</v>
      </c>
      <c r="E553" s="55" t="s">
        <v>76</v>
      </c>
      <c r="F553" s="55" t="s">
        <v>9</v>
      </c>
      <c r="G553" s="55" t="s">
        <v>10</v>
      </c>
      <c r="H553" s="55" t="s">
        <v>13</v>
      </c>
      <c r="I553" s="55">
        <v>2</v>
      </c>
      <c r="J553" s="55" t="s">
        <v>12</v>
      </c>
      <c r="K553" s="56">
        <v>2126.54</v>
      </c>
      <c r="L553" s="55">
        <v>3800</v>
      </c>
      <c r="M553" s="55" t="s">
        <v>186</v>
      </c>
      <c r="N553" s="57">
        <f t="shared" si="24"/>
        <v>0.55961578947368418</v>
      </c>
      <c r="O553" s="57">
        <f>+VLOOKUP(J553,TC!$B$6:$C$17,2,0)*PRECIOS!N553</f>
        <v>471.68309369943256</v>
      </c>
      <c r="P553" s="55" t="str">
        <f t="shared" si="25"/>
        <v>No</v>
      </c>
      <c r="Q553" s="57">
        <f>+IF(I553=1,O553,IF(I553=2,O553/(1+MRI!$C$18),(O553/(1+MRI!$D$18))/(1+MRI!$C$18)))</f>
        <v>430.4895487769648</v>
      </c>
      <c r="R553" s="57" t="str">
        <f t="shared" si="26"/>
        <v/>
      </c>
    </row>
    <row r="554" spans="1:18" x14ac:dyDescent="0.3">
      <c r="A554" s="42">
        <v>553</v>
      </c>
      <c r="B554" s="42" t="s">
        <v>36</v>
      </c>
      <c r="C554" s="42" t="s">
        <v>237</v>
      </c>
      <c r="D554" s="42" t="s">
        <v>183</v>
      </c>
      <c r="E554" s="42" t="s">
        <v>75</v>
      </c>
      <c r="F554" s="42" t="s">
        <v>9</v>
      </c>
      <c r="G554" s="42" t="s">
        <v>10</v>
      </c>
      <c r="H554" s="42" t="s">
        <v>20</v>
      </c>
      <c r="I554" s="42">
        <v>3</v>
      </c>
      <c r="J554" s="42" t="s">
        <v>12</v>
      </c>
      <c r="K554" s="43">
        <v>241.07</v>
      </c>
      <c r="L554" s="42">
        <v>380</v>
      </c>
      <c r="M554" s="42" t="s">
        <v>186</v>
      </c>
      <c r="N554" s="44">
        <f t="shared" si="24"/>
        <v>0.63439473684210523</v>
      </c>
      <c r="O554" s="44">
        <f>+VLOOKUP(J554,TC!$B$6:$C$17,2,0)*PRECIOS!N554</f>
        <v>534.71198942000717</v>
      </c>
      <c r="P554" s="42" t="str">
        <f t="shared" si="25"/>
        <v>No</v>
      </c>
      <c r="Q554" s="44">
        <f>+IF(I554=1,O554,IF(I554=2,O554/(1+MRI!$C$18),(O554/(1+MRI!$D$18))/(1+MRI!$C$18)))</f>
        <v>408.77108249772357</v>
      </c>
      <c r="R554" s="44" t="str">
        <f t="shared" si="26"/>
        <v/>
      </c>
    </row>
    <row r="555" spans="1:18" x14ac:dyDescent="0.3">
      <c r="A555" s="55">
        <v>554</v>
      </c>
      <c r="B555" s="55" t="s">
        <v>36</v>
      </c>
      <c r="C555" s="55" t="s">
        <v>237</v>
      </c>
      <c r="D555" s="55" t="s">
        <v>183</v>
      </c>
      <c r="E555" s="55" t="s">
        <v>75</v>
      </c>
      <c r="F555" s="55" t="s">
        <v>9</v>
      </c>
      <c r="G555" s="55" t="s">
        <v>10</v>
      </c>
      <c r="H555" s="55" t="s">
        <v>11</v>
      </c>
      <c r="I555" s="55">
        <v>1</v>
      </c>
      <c r="J555" s="55" t="s">
        <v>12</v>
      </c>
      <c r="K555" s="56">
        <v>174.38</v>
      </c>
      <c r="L555" s="55">
        <v>380</v>
      </c>
      <c r="M555" s="55" t="s">
        <v>186</v>
      </c>
      <c r="N555" s="57">
        <f t="shared" si="24"/>
        <v>0.45889473684210524</v>
      </c>
      <c r="O555" s="57">
        <f>+VLOOKUP(J555,TC!$B$6:$C$17,2,0)*PRECIOS!N555</f>
        <v>386.78838808255216</v>
      </c>
      <c r="P555" s="55" t="str">
        <f t="shared" si="25"/>
        <v>Si</v>
      </c>
      <c r="Q555" s="57">
        <f>+IF(I555=1,O555,IF(I555=2,O555/(1+MRI!$C$18),(O555/(1+MRI!$D$18))/(1+MRI!$C$18)))</f>
        <v>386.78838808255216</v>
      </c>
      <c r="R555" s="57">
        <f t="shared" si="26"/>
        <v>386.78838808255216</v>
      </c>
    </row>
    <row r="556" spans="1:18" x14ac:dyDescent="0.3">
      <c r="A556" s="42">
        <v>555</v>
      </c>
      <c r="B556" s="42" t="s">
        <v>36</v>
      </c>
      <c r="C556" s="42" t="s">
        <v>237</v>
      </c>
      <c r="D556" s="42" t="s">
        <v>183</v>
      </c>
      <c r="E556" s="42" t="s">
        <v>75</v>
      </c>
      <c r="F556" s="42" t="s">
        <v>9</v>
      </c>
      <c r="G556" s="42" t="s">
        <v>10</v>
      </c>
      <c r="H556" s="42" t="s">
        <v>13</v>
      </c>
      <c r="I556" s="42">
        <v>2</v>
      </c>
      <c r="J556" s="42" t="s">
        <v>12</v>
      </c>
      <c r="K556" s="43">
        <v>136.84</v>
      </c>
      <c r="L556" s="42">
        <v>380</v>
      </c>
      <c r="M556" s="42" t="s">
        <v>186</v>
      </c>
      <c r="N556" s="44">
        <f t="shared" si="24"/>
        <v>0.36010526315789476</v>
      </c>
      <c r="O556" s="44">
        <f>+VLOOKUP(J556,TC!$B$6:$C$17,2,0)*PRECIOS!N556</f>
        <v>303.52175149223791</v>
      </c>
      <c r="P556" s="42" t="str">
        <f t="shared" si="25"/>
        <v>No</v>
      </c>
      <c r="Q556" s="44">
        <f>+IF(I556=1,O556,IF(I556=2,O556/(1+MRI!$C$18),(O556/(1+MRI!$D$18))/(1+MRI!$C$18)))</f>
        <v>277.014257218956</v>
      </c>
      <c r="R556" s="44" t="str">
        <f t="shared" si="26"/>
        <v/>
      </c>
    </row>
  </sheetData>
  <autoFilter ref="A1:R556" xr:uid="{C0181CD6-7601-4162-A580-58415CAF0440}">
    <sortState xmlns:xlrd2="http://schemas.microsoft.com/office/spreadsheetml/2017/richdata2" ref="A2:R556">
      <sortCondition ref="B1:B556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C22F-8A31-4E5A-88C7-C34BF996FEA0}">
  <dimension ref="A1:D23"/>
  <sheetViews>
    <sheetView showGridLines="0" workbookViewId="0"/>
  </sheetViews>
  <sheetFormatPr baseColWidth="10" defaultRowHeight="14.4" x14ac:dyDescent="0.3"/>
  <cols>
    <col min="1" max="1" width="13.109375" customWidth="1"/>
    <col min="2" max="2" width="13.109375" bestFit="1" customWidth="1"/>
  </cols>
  <sheetData>
    <row r="1" spans="1:4" ht="23.4" x14ac:dyDescent="0.4">
      <c r="A1" s="127" t="s">
        <v>198</v>
      </c>
    </row>
    <row r="2" spans="1:4" x14ac:dyDescent="0.3">
      <c r="A2" s="12" t="s">
        <v>194</v>
      </c>
    </row>
    <row r="3" spans="1:4" x14ac:dyDescent="0.3">
      <c r="A3" s="12" t="s">
        <v>196</v>
      </c>
    </row>
    <row r="5" spans="1:4" ht="15.6" x14ac:dyDescent="0.3">
      <c r="B5" s="16" t="s">
        <v>3</v>
      </c>
      <c r="C5" s="16" t="s">
        <v>192</v>
      </c>
      <c r="D5" s="16" t="s">
        <v>191</v>
      </c>
    </row>
    <row r="6" spans="1:4" ht="15.6" x14ac:dyDescent="0.3">
      <c r="B6" s="49" t="s">
        <v>95</v>
      </c>
      <c r="C6" s="48">
        <v>0.21</v>
      </c>
      <c r="D6" s="48"/>
    </row>
    <row r="7" spans="1:4" ht="15.6" x14ac:dyDescent="0.3">
      <c r="B7" s="50" t="s">
        <v>58</v>
      </c>
      <c r="C7" s="51">
        <v>7.5200000000000003E-2</v>
      </c>
      <c r="D7" s="51">
        <v>4.6199999999999998E-2</v>
      </c>
    </row>
    <row r="8" spans="1:4" ht="15.6" x14ac:dyDescent="0.3">
      <c r="B8" s="49" t="s">
        <v>9</v>
      </c>
      <c r="C8" s="48">
        <v>0.12</v>
      </c>
      <c r="D8" s="48">
        <v>0.1</v>
      </c>
    </row>
    <row r="9" spans="1:4" ht="15.6" x14ac:dyDescent="0.3">
      <c r="B9" s="50" t="s">
        <v>96</v>
      </c>
      <c r="C9" s="51">
        <v>0.09</v>
      </c>
      <c r="D9" s="51"/>
    </row>
    <row r="10" spans="1:4" ht="15.6" x14ac:dyDescent="0.3">
      <c r="B10" s="49" t="s">
        <v>98</v>
      </c>
      <c r="C10" s="48">
        <v>7.5999999999999998E-2</v>
      </c>
      <c r="D10" s="48">
        <v>0.20300000000000001</v>
      </c>
    </row>
    <row r="11" spans="1:4" ht="15.6" x14ac:dyDescent="0.3">
      <c r="B11" s="50" t="s">
        <v>39</v>
      </c>
      <c r="C11" s="51">
        <v>6.93E-2</v>
      </c>
      <c r="D11" s="51">
        <v>3.0700000000000005E-2</v>
      </c>
    </row>
    <row r="12" spans="1:4" ht="15.6" x14ac:dyDescent="0.3">
      <c r="B12" s="49" t="s">
        <v>141</v>
      </c>
      <c r="C12" s="48">
        <v>5.3999999999999999E-2</v>
      </c>
      <c r="D12" s="48">
        <v>0.35</v>
      </c>
    </row>
    <row r="13" spans="1:4" ht="15.6" x14ac:dyDescent="0.3">
      <c r="B13" s="50" t="s">
        <v>107</v>
      </c>
      <c r="C13" s="51">
        <v>0.08</v>
      </c>
      <c r="D13" s="51">
        <v>0.16</v>
      </c>
    </row>
    <row r="14" spans="1:4" ht="15.6" x14ac:dyDescent="0.3">
      <c r="B14" s="49" t="s">
        <v>101</v>
      </c>
      <c r="C14" s="48"/>
      <c r="D14" s="48">
        <v>0.25</v>
      </c>
    </row>
    <row r="15" spans="1:4" ht="15.6" x14ac:dyDescent="0.3">
      <c r="B15" s="50" t="s">
        <v>99</v>
      </c>
      <c r="C15" s="51">
        <v>7.2400000000000006E-2</v>
      </c>
      <c r="D15" s="51">
        <v>0.10940000000000001</v>
      </c>
    </row>
    <row r="16" spans="1:4" ht="15.6" x14ac:dyDescent="0.3">
      <c r="B16" s="49" t="s">
        <v>142</v>
      </c>
      <c r="C16" s="48">
        <v>0.11</v>
      </c>
      <c r="D16" s="48">
        <v>0.49540678358958512</v>
      </c>
    </row>
    <row r="18" spans="2:4" ht="21" x14ac:dyDescent="0.4">
      <c r="B18" s="52" t="s">
        <v>116</v>
      </c>
      <c r="C18" s="53">
        <f>AVERAGE(C6:C16)</f>
        <v>9.5689999999999997E-2</v>
      </c>
      <c r="D18" s="53">
        <f>AVERAGE(D6:D16)</f>
        <v>0.19385630928773168</v>
      </c>
    </row>
    <row r="21" spans="2:4" x14ac:dyDescent="0.3">
      <c r="B21" s="4"/>
      <c r="C21" s="1"/>
    </row>
    <row r="22" spans="2:4" x14ac:dyDescent="0.3">
      <c r="B22" s="4"/>
      <c r="C22" s="3"/>
    </row>
    <row r="23" spans="2:4" x14ac:dyDescent="0.3">
      <c r="C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FF6C-DC4A-4326-BF82-6DD6130C9D93}">
  <dimension ref="A1:C18"/>
  <sheetViews>
    <sheetView showGridLines="0" workbookViewId="0">
      <selection activeCell="A4" sqref="A4"/>
    </sheetView>
  </sheetViews>
  <sheetFormatPr baseColWidth="10" defaultRowHeight="14.4" x14ac:dyDescent="0.3"/>
  <cols>
    <col min="2" max="2" width="13.88671875" customWidth="1"/>
    <col min="3" max="3" width="24.5546875" customWidth="1"/>
  </cols>
  <sheetData>
    <row r="1" spans="1:3" ht="23.4" x14ac:dyDescent="0.4">
      <c r="A1" s="127" t="s">
        <v>193</v>
      </c>
    </row>
    <row r="2" spans="1:3" x14ac:dyDescent="0.3">
      <c r="A2" s="59" t="s">
        <v>197</v>
      </c>
    </row>
    <row r="3" spans="1:3" x14ac:dyDescent="0.3">
      <c r="A3" s="59" t="s">
        <v>394</v>
      </c>
    </row>
    <row r="4" spans="1:3" x14ac:dyDescent="0.3">
      <c r="A4" s="11"/>
    </row>
    <row r="5" spans="1:3" ht="15.6" x14ac:dyDescent="0.3">
      <c r="B5" s="16" t="s">
        <v>6</v>
      </c>
      <c r="C5" s="24" t="s">
        <v>195</v>
      </c>
    </row>
    <row r="6" spans="1:3" ht="15.6" x14ac:dyDescent="0.3">
      <c r="B6" s="22" t="s">
        <v>60</v>
      </c>
      <c r="C6" s="23">
        <v>2914.517524201643</v>
      </c>
    </row>
    <row r="7" spans="1:3" ht="15.6" x14ac:dyDescent="0.3">
      <c r="B7" s="20" t="s">
        <v>12</v>
      </c>
      <c r="C7" s="21">
        <v>842.86952329034193</v>
      </c>
    </row>
    <row r="8" spans="1:3" ht="15.6" x14ac:dyDescent="0.3">
      <c r="B8" s="22" t="s">
        <v>90</v>
      </c>
      <c r="C8" s="23">
        <v>3236.7256324652035</v>
      </c>
    </row>
    <row r="9" spans="1:3" ht="15.6" x14ac:dyDescent="0.3">
      <c r="B9" s="20" t="s">
        <v>17</v>
      </c>
      <c r="C9" s="21">
        <v>5.0257324690410954</v>
      </c>
    </row>
    <row r="10" spans="1:3" ht="15.6" x14ac:dyDescent="0.3">
      <c r="B10" s="22" t="s">
        <v>40</v>
      </c>
      <c r="C10" s="23">
        <v>4576.4010076513687</v>
      </c>
    </row>
    <row r="11" spans="1:3" ht="15.6" x14ac:dyDescent="0.3">
      <c r="B11" s="20" t="s">
        <v>43</v>
      </c>
      <c r="C11" s="21">
        <v>5312.4924887474654</v>
      </c>
    </row>
    <row r="12" spans="1:3" ht="15.6" x14ac:dyDescent="0.3">
      <c r="B12" s="22" t="s">
        <v>91</v>
      </c>
      <c r="C12" s="23">
        <v>53.300039547123312</v>
      </c>
    </row>
    <row r="13" spans="1:3" ht="15.6" x14ac:dyDescent="0.3">
      <c r="B13" s="20" t="s">
        <v>92</v>
      </c>
      <c r="C13" s="21">
        <v>227.22829621363007</v>
      </c>
    </row>
    <row r="14" spans="1:3" ht="15.6" x14ac:dyDescent="0.3">
      <c r="B14" s="22" t="s">
        <v>21</v>
      </c>
      <c r="C14" s="23">
        <v>427.18185043267073</v>
      </c>
    </row>
    <row r="15" spans="1:3" ht="15.6" x14ac:dyDescent="0.3">
      <c r="B15" s="20" t="s">
        <v>93</v>
      </c>
      <c r="C15" s="21">
        <v>1130.8436548610262</v>
      </c>
    </row>
    <row r="16" spans="1:3" ht="15.6" x14ac:dyDescent="0.3">
      <c r="B16" s="22" t="s">
        <v>25</v>
      </c>
      <c r="C16" s="23">
        <v>4291.6302892344529</v>
      </c>
    </row>
    <row r="17" spans="2:3" ht="15.6" x14ac:dyDescent="0.3">
      <c r="B17" s="20" t="s">
        <v>94</v>
      </c>
      <c r="C17" s="21">
        <v>247.82294622965748</v>
      </c>
    </row>
    <row r="18" spans="2:3" x14ac:dyDescent="0.3">
      <c r="B1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3373-D5ED-44C1-84E0-369827553274}">
  <sheetPr codeName="Hoja1"/>
  <dimension ref="A1:K35"/>
  <sheetViews>
    <sheetView showGridLines="0" zoomScaleNormal="100" workbookViewId="0">
      <selection activeCell="D3" sqref="D3:K3"/>
    </sheetView>
  </sheetViews>
  <sheetFormatPr baseColWidth="10" defaultRowHeight="14.4" x14ac:dyDescent="0.3"/>
  <cols>
    <col min="1" max="2" width="11.5546875" customWidth="1"/>
    <col min="3" max="3" width="15.5546875" bestFit="1" customWidth="1"/>
    <col min="4" max="4" width="36.88671875" bestFit="1" customWidth="1"/>
    <col min="5" max="5" width="22.33203125" bestFit="1" customWidth="1"/>
    <col min="6" max="11" width="11.5546875" customWidth="1"/>
  </cols>
  <sheetData>
    <row r="1" spans="1:11" ht="23.4" x14ac:dyDescent="0.4">
      <c r="A1" s="127" t="s">
        <v>199</v>
      </c>
    </row>
    <row r="2" spans="1:11" ht="15.6" customHeight="1" thickBot="1" x14ac:dyDescent="0.35">
      <c r="A2" s="12" t="s">
        <v>200</v>
      </c>
      <c r="G2" s="58"/>
      <c r="H2" s="58"/>
    </row>
    <row r="3" spans="1:11" ht="15" thickBot="1" x14ac:dyDescent="0.35">
      <c r="C3" s="61" t="s">
        <v>204</v>
      </c>
      <c r="D3" s="136" t="s">
        <v>179</v>
      </c>
      <c r="E3" s="137"/>
      <c r="F3" s="137"/>
      <c r="G3" s="137"/>
      <c r="H3" s="137"/>
      <c r="I3" s="137"/>
      <c r="J3" s="137"/>
      <c r="K3" s="138"/>
    </row>
    <row r="4" spans="1:11" x14ac:dyDescent="0.3">
      <c r="C4" s="61" t="s">
        <v>203</v>
      </c>
      <c r="D4" s="62">
        <f>+_xlfn.XLOOKUP(D3,PRECIOS!$D:$D,PRECIOS!$B:$B,,0)</f>
        <v>655</v>
      </c>
    </row>
    <row r="6" spans="1:11" ht="15" x14ac:dyDescent="0.3">
      <c r="C6" s="15" t="s">
        <v>3</v>
      </c>
      <c r="D6" s="63" t="s">
        <v>188</v>
      </c>
      <c r="E6" s="15" t="s">
        <v>189</v>
      </c>
      <c r="G6" s="60" t="s">
        <v>1</v>
      </c>
    </row>
    <row r="7" spans="1:11" ht="15.6" x14ac:dyDescent="0.3">
      <c r="C7" s="9" t="s">
        <v>95</v>
      </c>
      <c r="D7" s="64" t="str">
        <f>IFERROR(AVERAGEIF(PRECIOS!C:C,PRI!$D$4&amp;"|"&amp;PRI!C7,PRECIOS!R:R),"")</f>
        <v/>
      </c>
      <c r="E7" s="5" t="str">
        <f>IF(D7="","",VLOOKUP($D$4,PRECIOS!$B:$M,12,0))</f>
        <v/>
      </c>
      <c r="G7" s="60" t="s">
        <v>179</v>
      </c>
      <c r="J7" s="1"/>
    </row>
    <row r="8" spans="1:11" ht="15.6" x14ac:dyDescent="0.3">
      <c r="C8" s="17" t="s">
        <v>58</v>
      </c>
      <c r="D8" s="65" t="str">
        <f>IFERROR(AVERAGEIF(PRECIOS!C:C,PRI!$D$4&amp;"|"&amp;PRI!C8,PRECIOS!R:R),"")</f>
        <v/>
      </c>
      <c r="E8" s="18" t="str">
        <f>IF(D8="","",VLOOKUP($D$4,PRECIOS!$B:$M,12,0))</f>
        <v/>
      </c>
      <c r="G8" s="60" t="s">
        <v>184</v>
      </c>
      <c r="J8" s="1"/>
    </row>
    <row r="9" spans="1:11" ht="15.6" x14ac:dyDescent="0.3">
      <c r="C9" s="9" t="s">
        <v>9</v>
      </c>
      <c r="D9" s="64">
        <f>IFERROR(AVERAGEIF(PRECIOS!C:C,PRI!$D$4&amp;"|"&amp;PRI!C9,PRECIOS!R:R),"")</f>
        <v>119.80631226112321</v>
      </c>
      <c r="E9" s="5" t="str">
        <f>IF(D9="","",VLOOKUP($D$4,PRECIOS!$B:$M,12,0))</f>
        <v>UI</v>
      </c>
      <c r="G9" s="60" t="s">
        <v>180</v>
      </c>
      <c r="J9" s="1"/>
    </row>
    <row r="10" spans="1:11" ht="15.6" x14ac:dyDescent="0.3">
      <c r="C10" s="17" t="s">
        <v>102</v>
      </c>
      <c r="D10" s="65" t="str">
        <f>IFERROR(AVERAGEIF(PRECIOS!C:C,PRI!$D$4&amp;"|"&amp;PRI!C10,PRECIOS!R:R),"")</f>
        <v/>
      </c>
      <c r="E10" s="18" t="str">
        <f>IF(D10="","",VLOOKUP($D$4,PRECIOS!$B:$M,12,0))</f>
        <v/>
      </c>
      <c r="G10" s="60" t="s">
        <v>181</v>
      </c>
      <c r="J10" s="1"/>
    </row>
    <row r="11" spans="1:11" ht="15.6" x14ac:dyDescent="0.3">
      <c r="C11" s="9" t="s">
        <v>15</v>
      </c>
      <c r="D11" s="64">
        <f>IFERROR(AVERAGEIF(PRECIOS!C:C,PRI!$D$4&amp;"|"&amp;PRI!C11,PRECIOS!R:R),"")</f>
        <v>115.58785625481258</v>
      </c>
      <c r="E11" s="5" t="str">
        <f>IF(D11="","",VLOOKUP($D$4,PRECIOS!$B:$M,12,0))</f>
        <v>UI</v>
      </c>
      <c r="G11" s="60" t="s">
        <v>182</v>
      </c>
      <c r="J11" s="1"/>
    </row>
    <row r="12" spans="1:11" ht="15.6" x14ac:dyDescent="0.3">
      <c r="C12" s="17" t="s">
        <v>97</v>
      </c>
      <c r="D12" s="65">
        <f>IFERROR(AVERAGEIF(PRECIOS!C:C,PRI!$D$4&amp;"|"&amp;PRI!C12,PRECIOS!R:R),"")</f>
        <v>24.245982066110599</v>
      </c>
      <c r="E12" s="18" t="str">
        <f>IF(D12="","",VLOOKUP($D$4,PRECIOS!$B:$M,12,0))</f>
        <v>UI</v>
      </c>
      <c r="G12" s="60" t="s">
        <v>183</v>
      </c>
      <c r="J12" s="1"/>
    </row>
    <row r="13" spans="1:11" ht="15.6" x14ac:dyDescent="0.3">
      <c r="C13" s="9" t="s">
        <v>23</v>
      </c>
      <c r="D13" s="64" t="str">
        <f>IFERROR(AVERAGEIF(PRECIOS!C:C,PRI!$D$4&amp;"|"&amp;PRI!C13,PRECIOS!R:R),"")</f>
        <v/>
      </c>
      <c r="E13" s="5" t="str">
        <f>IF(D13="","",VLOOKUP($D$4,PRECIOS!$B:$M,12,0))</f>
        <v/>
      </c>
      <c r="J13" s="1"/>
    </row>
    <row r="14" spans="1:11" ht="15.6" x14ac:dyDescent="0.3">
      <c r="C14" s="17" t="s">
        <v>98</v>
      </c>
      <c r="D14" s="65" t="str">
        <f>IFERROR(AVERAGEIF(PRECIOS!C:C,PRI!$D$4&amp;"|"&amp;PRI!C14,PRECIOS!R:R),"")</f>
        <v/>
      </c>
      <c r="E14" s="18" t="str">
        <f>IF(D14="","",VLOOKUP($D$4,PRECIOS!$B:$M,12,0))</f>
        <v/>
      </c>
      <c r="J14" s="1"/>
    </row>
    <row r="15" spans="1:11" ht="15.6" x14ac:dyDescent="0.3">
      <c r="C15" s="9" t="s">
        <v>39</v>
      </c>
      <c r="D15" s="64" t="str">
        <f>IFERROR(AVERAGEIF(PRECIOS!C:C,PRI!$D$4&amp;"|"&amp;PRI!C15,PRECIOS!R:R),"")</f>
        <v/>
      </c>
      <c r="E15" s="5" t="str">
        <f>IF(D15="","",VLOOKUP($D$4,PRECIOS!$B:$M,12,0))</f>
        <v/>
      </c>
      <c r="J15" s="1"/>
    </row>
    <row r="16" spans="1:11" ht="15.6" x14ac:dyDescent="0.3">
      <c r="C16" s="17" t="s">
        <v>141</v>
      </c>
      <c r="D16" s="65" t="str">
        <f>IFERROR(AVERAGEIF(PRECIOS!C:C,PRI!$D$4&amp;"|"&amp;PRI!C16,PRECIOS!R:R),"")</f>
        <v/>
      </c>
      <c r="E16" s="18" t="str">
        <f>IF(D16="","",VLOOKUP($D$4,PRECIOS!$B:$M,12,0))</f>
        <v/>
      </c>
      <c r="J16" s="1"/>
    </row>
    <row r="17" spans="3:10" ht="15.6" x14ac:dyDescent="0.3">
      <c r="C17" s="9" t="s">
        <v>106</v>
      </c>
      <c r="D17" s="64">
        <f>IFERROR(AVERAGEIF(PRECIOS!C:C,PRI!$D$4&amp;"|"&amp;PRI!C17,PRECIOS!R:R),"")</f>
        <v>245.82595652700093</v>
      </c>
      <c r="E17" s="5" t="str">
        <f>IF(D17="","",VLOOKUP($D$4,PRECIOS!$B:$M,12,0))</f>
        <v>UI</v>
      </c>
      <c r="J17" s="1"/>
    </row>
    <row r="18" spans="3:10" ht="15.6" x14ac:dyDescent="0.3">
      <c r="C18" s="17" t="s">
        <v>107</v>
      </c>
      <c r="D18" s="65" t="str">
        <f>IFERROR(AVERAGEIF(PRECIOS!C:C,PRI!$D$4&amp;"|"&amp;PRI!C18,PRECIOS!R:R),"")</f>
        <v/>
      </c>
      <c r="E18" s="18" t="str">
        <f>IF(D18="","",VLOOKUP($D$4,PRECIOS!$B:$M,12,0))</f>
        <v/>
      </c>
      <c r="J18" s="1"/>
    </row>
    <row r="19" spans="3:10" ht="15.6" x14ac:dyDescent="0.3">
      <c r="C19" s="9" t="s">
        <v>103</v>
      </c>
      <c r="D19" s="64" t="str">
        <f>IFERROR(AVERAGEIF(PRECIOS!C:C,PRI!$D$4&amp;"|"&amp;PRI!C19,PRECIOS!R:R),"")</f>
        <v/>
      </c>
      <c r="E19" s="5" t="str">
        <f>IF(D19="","",VLOOKUP($D$4,PRECIOS!$B:$M,12,0))</f>
        <v/>
      </c>
      <c r="J19" s="1"/>
    </row>
    <row r="20" spans="3:10" ht="15.6" x14ac:dyDescent="0.3">
      <c r="C20" s="17" t="s">
        <v>18</v>
      </c>
      <c r="D20" s="65" t="str">
        <f>IFERROR(AVERAGEIF(PRECIOS!C:C,PRI!$D$4&amp;"|"&amp;PRI!C20,PRECIOS!R:R),"")</f>
        <v/>
      </c>
      <c r="E20" s="18" t="str">
        <f>IF(D20="","",VLOOKUP($D$4,PRECIOS!$B:$M,12,0))</f>
        <v/>
      </c>
      <c r="J20" s="1"/>
    </row>
    <row r="21" spans="3:10" ht="15.6" x14ac:dyDescent="0.3">
      <c r="C21" s="9" t="s">
        <v>104</v>
      </c>
      <c r="D21" s="64" t="str">
        <f>IFERROR(AVERAGEIF(PRECIOS!C:C,PRI!$D$4&amp;"|"&amp;PRI!C21,PRECIOS!R:R),"")</f>
        <v/>
      </c>
      <c r="E21" s="5" t="str">
        <f>IF(D21="","",VLOOKUP($D$4,PRECIOS!$B:$M,12,0))</f>
        <v/>
      </c>
      <c r="J21" s="1"/>
    </row>
    <row r="22" spans="3:10" ht="15.6" x14ac:dyDescent="0.3">
      <c r="C22" s="17" t="s">
        <v>101</v>
      </c>
      <c r="D22" s="65" t="str">
        <f>IFERROR(AVERAGEIF(PRECIOS!C:C,PRI!$D$4&amp;"|"&amp;PRI!C22,PRECIOS!R:R),"")</f>
        <v/>
      </c>
      <c r="E22" s="18" t="str">
        <f>IF(D22="","",VLOOKUP($D$4,PRECIOS!$B:$M,12,0))</f>
        <v/>
      </c>
      <c r="J22" s="1"/>
    </row>
    <row r="23" spans="3:10" ht="15.6" x14ac:dyDescent="0.3">
      <c r="C23" s="9" t="s">
        <v>99</v>
      </c>
      <c r="D23" s="64" t="str">
        <f>IFERROR(AVERAGEIF(PRECIOS!C:C,PRI!$D$4&amp;"|"&amp;PRI!C23,PRECIOS!R:R),"")</f>
        <v/>
      </c>
      <c r="E23" s="5" t="str">
        <f>IF(D23="","",VLOOKUP($D$4,PRECIOS!$B:$M,12,0))</f>
        <v/>
      </c>
      <c r="J23" s="1"/>
    </row>
    <row r="24" spans="3:10" ht="15.6" x14ac:dyDescent="0.3">
      <c r="C24" s="17" t="s">
        <v>41</v>
      </c>
      <c r="D24" s="65">
        <f>IFERROR(AVERAGEIF(PRECIOS!C:C,PRI!$D$4&amp;"|"&amp;PRI!C24,PRECIOS!R:R),"")</f>
        <v>218.18412324073043</v>
      </c>
      <c r="E24" s="18" t="str">
        <f>IF(D24="","",VLOOKUP($D$4,PRECIOS!$B:$M,12,0))</f>
        <v>UI</v>
      </c>
      <c r="J24" s="1"/>
    </row>
    <row r="25" spans="3:10" ht="15.6" x14ac:dyDescent="0.3">
      <c r="C25" s="9" t="s">
        <v>108</v>
      </c>
      <c r="D25" s="66" t="str">
        <f>IFERROR(AVERAGEIF(PRECIOS!C:C,PRI!$D$4&amp;"|"&amp;PRI!C25,PRECIOS!R:R),"")</f>
        <v/>
      </c>
      <c r="E25" s="5" t="str">
        <f>IF(D25="","",VLOOKUP($D$4,PRECIOS!$B:$M,12,0))</f>
        <v/>
      </c>
      <c r="J25" s="1"/>
    </row>
    <row r="26" spans="3:10" ht="15.6" x14ac:dyDescent="0.3">
      <c r="C26" s="6"/>
      <c r="D26" s="7"/>
      <c r="E26" s="8"/>
    </row>
    <row r="27" spans="3:10" ht="15.6" x14ac:dyDescent="0.3">
      <c r="C27" s="45" t="s">
        <v>190</v>
      </c>
      <c r="D27" s="69">
        <f>IF(COUNT(D7:D25)&lt;4,"NO HAY SUFICIENTES FUENTES PARA CALCULAR PRI",ROUND(PERCENTILE(D7:D25,0.2),2))</f>
        <v>97.32</v>
      </c>
      <c r="E27" s="46" t="str">
        <f>IF(D27="","",VLOOKUP($D$4,PRECIOS!$B:$M,12,0))</f>
        <v>UI</v>
      </c>
    </row>
    <row r="28" spans="3:10" ht="30.6" x14ac:dyDescent="0.3">
      <c r="C28" s="67" t="s">
        <v>201</v>
      </c>
      <c r="D28" s="68">
        <f>+MRI!$C$18</f>
        <v>9.5689999999999997E-2</v>
      </c>
      <c r="E28" s="47"/>
    </row>
    <row r="29" spans="3:10" ht="61.2" x14ac:dyDescent="0.35">
      <c r="C29" s="54" t="s">
        <v>202</v>
      </c>
      <c r="D29" s="71">
        <f>IFERROR(ROUND($D$27*(1+$D$28),2),D27)</f>
        <v>106.63</v>
      </c>
      <c r="E29" s="70" t="str">
        <f>IF(D29="","",VLOOKUP($D$4,PRECIOS!$B:$M,12,0))</f>
        <v>UI</v>
      </c>
    </row>
    <row r="31" spans="3:10" x14ac:dyDescent="0.3">
      <c r="D31" s="72"/>
    </row>
    <row r="35" spans="4:4" x14ac:dyDescent="0.3">
      <c r="D35" s="72"/>
    </row>
  </sheetData>
  <mergeCells count="1">
    <mergeCell ref="D3:K3"/>
  </mergeCells>
  <dataValidations count="1">
    <dataValidation type="list" allowBlank="1" showInputMessage="1" showErrorMessage="1" sqref="G2:H2 D3" xr:uid="{116253A3-4475-4C43-9EBE-873EA80B2185}">
      <formula1>$G$7:$G$12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8556-BA9D-43DE-B414-75B812373E76}">
  <dimension ref="A1:D36"/>
  <sheetViews>
    <sheetView showGridLines="0" zoomScaleNormal="100" workbookViewId="0"/>
  </sheetViews>
  <sheetFormatPr baseColWidth="10" defaultColWidth="11.44140625" defaultRowHeight="14.4" x14ac:dyDescent="0.3"/>
  <cols>
    <col min="1" max="1" width="4.44140625" bestFit="1" customWidth="1"/>
    <col min="2" max="2" width="14.109375" customWidth="1"/>
    <col min="3" max="3" width="43.5546875" customWidth="1"/>
    <col min="4" max="4" width="113.33203125" bestFit="1" customWidth="1"/>
  </cols>
  <sheetData>
    <row r="1" spans="1:4" ht="23.4" x14ac:dyDescent="0.4">
      <c r="A1" s="73" t="s">
        <v>242</v>
      </c>
    </row>
    <row r="3" spans="1:4" x14ac:dyDescent="0.3">
      <c r="A3" s="74" t="s">
        <v>392</v>
      </c>
      <c r="B3" s="74"/>
    </row>
    <row r="4" spans="1:4" x14ac:dyDescent="0.3">
      <c r="A4" s="75" t="s">
        <v>393</v>
      </c>
      <c r="B4" s="75" t="s">
        <v>243</v>
      </c>
      <c r="C4" s="75" t="s">
        <v>244</v>
      </c>
      <c r="D4" s="76" t="s">
        <v>245</v>
      </c>
    </row>
    <row r="5" spans="1:4" ht="26.4" x14ac:dyDescent="0.3">
      <c r="A5" s="77">
        <v>1</v>
      </c>
      <c r="B5" s="78" t="s">
        <v>95</v>
      </c>
      <c r="C5" s="78" t="s">
        <v>246</v>
      </c>
      <c r="D5" s="82" t="s">
        <v>247</v>
      </c>
    </row>
    <row r="6" spans="1:4" x14ac:dyDescent="0.3">
      <c r="A6" s="79">
        <v>2</v>
      </c>
      <c r="B6" s="80" t="s">
        <v>58</v>
      </c>
      <c r="C6" s="80" t="s">
        <v>59</v>
      </c>
      <c r="D6" s="81" t="s">
        <v>248</v>
      </c>
    </row>
    <row r="7" spans="1:4" x14ac:dyDescent="0.3">
      <c r="A7" s="77">
        <v>3</v>
      </c>
      <c r="B7" s="78" t="s">
        <v>58</v>
      </c>
      <c r="C7" s="78" t="s">
        <v>249</v>
      </c>
      <c r="D7" s="82" t="s">
        <v>250</v>
      </c>
    </row>
    <row r="8" spans="1:4" ht="23.25" customHeight="1" x14ac:dyDescent="0.3">
      <c r="A8" s="79">
        <v>4</v>
      </c>
      <c r="B8" s="80" t="s">
        <v>9</v>
      </c>
      <c r="C8" s="80" t="s">
        <v>53</v>
      </c>
      <c r="D8" s="81" t="s">
        <v>251</v>
      </c>
    </row>
    <row r="9" spans="1:4" x14ac:dyDescent="0.3">
      <c r="A9" s="77">
        <v>5</v>
      </c>
      <c r="B9" s="78" t="s">
        <v>9</v>
      </c>
      <c r="C9" s="78" t="s">
        <v>10</v>
      </c>
      <c r="D9" s="82" t="s">
        <v>252</v>
      </c>
    </row>
    <row r="10" spans="1:4" ht="26.4" x14ac:dyDescent="0.3">
      <c r="A10" s="79">
        <v>6</v>
      </c>
      <c r="B10" s="80" t="s">
        <v>102</v>
      </c>
      <c r="C10" s="80" t="s">
        <v>253</v>
      </c>
      <c r="D10" s="81" t="s">
        <v>254</v>
      </c>
    </row>
    <row r="11" spans="1:4" ht="39.6" x14ac:dyDescent="0.3">
      <c r="A11" s="77">
        <v>7</v>
      </c>
      <c r="B11" s="78" t="s">
        <v>102</v>
      </c>
      <c r="C11" s="78" t="s">
        <v>255</v>
      </c>
      <c r="D11" s="82" t="s">
        <v>256</v>
      </c>
    </row>
    <row r="12" spans="1:4" x14ac:dyDescent="0.3">
      <c r="A12" s="79">
        <v>8</v>
      </c>
      <c r="B12" s="80" t="s">
        <v>102</v>
      </c>
      <c r="C12" s="80" t="s">
        <v>257</v>
      </c>
      <c r="D12" s="81" t="s">
        <v>258</v>
      </c>
    </row>
    <row r="13" spans="1:4" x14ac:dyDescent="0.3">
      <c r="A13" s="77">
        <v>9</v>
      </c>
      <c r="B13" s="78" t="s">
        <v>15</v>
      </c>
      <c r="C13" s="78" t="s">
        <v>51</v>
      </c>
      <c r="D13" s="82" t="s">
        <v>259</v>
      </c>
    </row>
    <row r="14" spans="1:4" ht="26.4" x14ac:dyDescent="0.3">
      <c r="A14" s="79">
        <v>10</v>
      </c>
      <c r="B14" s="80" t="s">
        <v>97</v>
      </c>
      <c r="C14" s="80" t="s">
        <v>135</v>
      </c>
      <c r="D14" s="81" t="s">
        <v>260</v>
      </c>
    </row>
    <row r="15" spans="1:4" x14ac:dyDescent="0.3">
      <c r="A15" s="77">
        <v>11</v>
      </c>
      <c r="B15" s="78" t="s">
        <v>97</v>
      </c>
      <c r="C15" s="78" t="s">
        <v>134</v>
      </c>
      <c r="D15" s="82" t="s">
        <v>261</v>
      </c>
    </row>
    <row r="16" spans="1:4" ht="26.4" x14ac:dyDescent="0.3">
      <c r="A16" s="79">
        <v>12</v>
      </c>
      <c r="B16" s="80" t="s">
        <v>23</v>
      </c>
      <c r="C16" s="80" t="s">
        <v>48</v>
      </c>
      <c r="D16" s="81" t="s">
        <v>262</v>
      </c>
    </row>
    <row r="17" spans="1:4" ht="26.4" x14ac:dyDescent="0.3">
      <c r="A17" s="77">
        <v>13</v>
      </c>
      <c r="B17" s="78" t="s">
        <v>23</v>
      </c>
      <c r="C17" s="78" t="s">
        <v>24</v>
      </c>
      <c r="D17" s="82" t="s">
        <v>263</v>
      </c>
    </row>
    <row r="18" spans="1:4" x14ac:dyDescent="0.3">
      <c r="A18" s="79">
        <v>14</v>
      </c>
      <c r="B18" s="80" t="s">
        <v>23</v>
      </c>
      <c r="C18" s="80" t="s">
        <v>264</v>
      </c>
      <c r="D18" s="81" t="s">
        <v>265</v>
      </c>
    </row>
    <row r="19" spans="1:4" ht="26.4" x14ac:dyDescent="0.3">
      <c r="A19" s="77">
        <v>15</v>
      </c>
      <c r="B19" s="78" t="s">
        <v>98</v>
      </c>
      <c r="C19" s="78" t="s">
        <v>206</v>
      </c>
      <c r="D19" s="82" t="s">
        <v>266</v>
      </c>
    </row>
    <row r="20" spans="1:4" x14ac:dyDescent="0.3">
      <c r="A20" s="79">
        <v>16</v>
      </c>
      <c r="B20" s="80" t="s">
        <v>39</v>
      </c>
      <c r="C20" s="80" t="s">
        <v>163</v>
      </c>
      <c r="D20" s="81" t="s">
        <v>267</v>
      </c>
    </row>
    <row r="21" spans="1:4" x14ac:dyDescent="0.3">
      <c r="A21" s="77">
        <v>17</v>
      </c>
      <c r="B21" s="78" t="s">
        <v>39</v>
      </c>
      <c r="C21" s="78" t="s">
        <v>268</v>
      </c>
      <c r="D21" s="82" t="s">
        <v>269</v>
      </c>
    </row>
    <row r="22" spans="1:4" ht="26.4" x14ac:dyDescent="0.3">
      <c r="A22" s="79">
        <v>18</v>
      </c>
      <c r="B22" s="80" t="s">
        <v>39</v>
      </c>
      <c r="C22" s="80" t="s">
        <v>270</v>
      </c>
      <c r="D22" s="81" t="s">
        <v>271</v>
      </c>
    </row>
    <row r="23" spans="1:4" x14ac:dyDescent="0.3">
      <c r="A23" s="77">
        <v>19</v>
      </c>
      <c r="B23" s="78" t="s">
        <v>141</v>
      </c>
      <c r="C23" s="78" t="s">
        <v>176</v>
      </c>
      <c r="D23" s="82" t="s">
        <v>272</v>
      </c>
    </row>
    <row r="24" spans="1:4" x14ac:dyDescent="0.3">
      <c r="A24" s="79">
        <v>20</v>
      </c>
      <c r="B24" s="80" t="s">
        <v>107</v>
      </c>
      <c r="C24" s="80" t="s">
        <v>273</v>
      </c>
      <c r="D24" s="81" t="s">
        <v>274</v>
      </c>
    </row>
    <row r="25" spans="1:4" x14ac:dyDescent="0.3">
      <c r="A25" s="77">
        <v>21</v>
      </c>
      <c r="B25" s="78" t="s">
        <v>106</v>
      </c>
      <c r="C25" s="78" t="s">
        <v>207</v>
      </c>
      <c r="D25" s="82" t="s">
        <v>275</v>
      </c>
    </row>
    <row r="26" spans="1:4" x14ac:dyDescent="0.3">
      <c r="A26" s="79">
        <v>22</v>
      </c>
      <c r="B26" s="80" t="s">
        <v>103</v>
      </c>
      <c r="C26" s="80" t="s">
        <v>276</v>
      </c>
      <c r="D26" s="81" t="s">
        <v>277</v>
      </c>
    </row>
    <row r="27" spans="1:4" x14ac:dyDescent="0.3">
      <c r="A27" s="77">
        <v>23</v>
      </c>
      <c r="B27" s="78" t="s">
        <v>103</v>
      </c>
      <c r="C27" s="78" t="s">
        <v>208</v>
      </c>
      <c r="D27" s="82" t="s">
        <v>278</v>
      </c>
    </row>
    <row r="28" spans="1:4" x14ac:dyDescent="0.3">
      <c r="A28" s="79">
        <v>24</v>
      </c>
      <c r="B28" s="80" t="s">
        <v>18</v>
      </c>
      <c r="C28" s="80" t="s">
        <v>19</v>
      </c>
      <c r="D28" s="81" t="s">
        <v>279</v>
      </c>
    </row>
    <row r="29" spans="1:4" ht="26.4" x14ac:dyDescent="0.3">
      <c r="A29" s="77">
        <v>25</v>
      </c>
      <c r="B29" s="78" t="s">
        <v>104</v>
      </c>
      <c r="C29" s="78" t="s">
        <v>172</v>
      </c>
      <c r="D29" s="82" t="s">
        <v>280</v>
      </c>
    </row>
    <row r="30" spans="1:4" x14ac:dyDescent="0.3">
      <c r="A30" s="79">
        <v>26</v>
      </c>
      <c r="B30" s="80" t="s">
        <v>101</v>
      </c>
      <c r="C30" s="80" t="s">
        <v>136</v>
      </c>
      <c r="D30" s="81" t="s">
        <v>281</v>
      </c>
    </row>
    <row r="31" spans="1:4" ht="26.4" x14ac:dyDescent="0.3">
      <c r="A31" s="77">
        <v>27</v>
      </c>
      <c r="B31" s="78" t="s">
        <v>101</v>
      </c>
      <c r="C31" s="78" t="s">
        <v>205</v>
      </c>
      <c r="D31" s="82" t="s">
        <v>282</v>
      </c>
    </row>
    <row r="32" spans="1:4" ht="26.4" x14ac:dyDescent="0.3">
      <c r="A32" s="79">
        <v>28</v>
      </c>
      <c r="B32" s="80" t="s">
        <v>99</v>
      </c>
      <c r="C32" s="80" t="s">
        <v>283</v>
      </c>
      <c r="D32" s="81" t="s">
        <v>284</v>
      </c>
    </row>
    <row r="33" spans="1:4" x14ac:dyDescent="0.3">
      <c r="A33" s="77">
        <v>29</v>
      </c>
      <c r="B33" s="78" t="s">
        <v>41</v>
      </c>
      <c r="C33" s="78" t="s">
        <v>285</v>
      </c>
      <c r="D33" s="82" t="s">
        <v>286</v>
      </c>
    </row>
    <row r="34" spans="1:4" x14ac:dyDescent="0.3">
      <c r="A34" s="79">
        <v>30</v>
      </c>
      <c r="B34" s="80" t="s">
        <v>41</v>
      </c>
      <c r="C34" s="80" t="s">
        <v>42</v>
      </c>
      <c r="D34" s="81" t="s">
        <v>287</v>
      </c>
    </row>
    <row r="35" spans="1:4" x14ac:dyDescent="0.3">
      <c r="A35" s="77">
        <v>31</v>
      </c>
      <c r="B35" s="78" t="s">
        <v>41</v>
      </c>
      <c r="C35" s="78" t="s">
        <v>174</v>
      </c>
      <c r="D35" s="82" t="s">
        <v>288</v>
      </c>
    </row>
    <row r="36" spans="1:4" x14ac:dyDescent="0.3">
      <c r="A36" s="79">
        <v>32</v>
      </c>
      <c r="B36" s="80" t="s">
        <v>108</v>
      </c>
      <c r="C36" s="80" t="s">
        <v>178</v>
      </c>
      <c r="D36" s="81" t="s">
        <v>289</v>
      </c>
    </row>
  </sheetData>
  <hyperlinks>
    <hyperlink ref="D5" r:id="rId1" xr:uid="{31B36E9F-D011-4181-988B-BF0518FC187B}"/>
    <hyperlink ref="D6" r:id="rId2" xr:uid="{A9B6097E-09D0-4B7C-9569-A6E666955FBA}"/>
    <hyperlink ref="D7" r:id="rId3" xr:uid="{07726A96-C4F4-4C1E-85AD-185EAD1ED221}"/>
    <hyperlink ref="D9" r:id="rId4" xr:uid="{A0218E51-B016-4B94-9F48-B00453032459}"/>
    <hyperlink ref="D12" r:id="rId5" xr:uid="{79DAB591-469B-47F3-A6EA-DD082B52892B}"/>
    <hyperlink ref="D28" r:id="rId6" xr:uid="{BBF6ED2F-5203-4AFC-B592-995E803A9CE9}"/>
    <hyperlink ref="D29" r:id="rId7" location="/busqueda-avanzada-v2" xr:uid="{887AC3D3-0586-4AC3-B6B0-A8250888844F}"/>
    <hyperlink ref="D35" r:id="rId8" xr:uid="{BE599AE7-F589-4A79-9A14-723DE941469B}"/>
    <hyperlink ref="D23" r:id="rId9" xr:uid="{D78E35B1-1BE7-45B8-B0EB-3FE181C89A9D}"/>
    <hyperlink ref="D25" r:id="rId10" xr:uid="{BF1DF063-B87F-423A-9737-1D3207EE1BAC}"/>
    <hyperlink ref="D36" r:id="rId11" xr:uid="{46EA568A-F190-4BCD-8C9D-1BEC50B965AC}"/>
    <hyperlink ref="D24" r:id="rId12" xr:uid="{62994F0A-2C85-4E22-9F23-15FEF68FB01A}"/>
    <hyperlink ref="D27" r:id="rId13" xr:uid="{372F81B4-91A9-41FA-8B6D-9083E97D2A44}"/>
    <hyperlink ref="D19" r:id="rId14" xr:uid="{660A1AAE-995F-4A6A-83D5-2D12090797E3}"/>
    <hyperlink ref="D8" r:id="rId15" xr:uid="{9EA6B3B4-A387-44A9-ACF9-36535E95A1BA}"/>
    <hyperlink ref="D10" r:id="rId16" xr:uid="{E1B2FE70-3EC8-47A2-A63A-16F3BD572B0A}"/>
    <hyperlink ref="D11" r:id="rId17" xr:uid="{1138470C-DD0A-4261-826B-DB18E10E4162}"/>
    <hyperlink ref="D13" r:id="rId18" xr:uid="{81BFE6A1-66AD-4D5E-BAB0-F32C923CB3CC}"/>
    <hyperlink ref="D15" r:id="rId19" xr:uid="{A1F8E2C9-D6D4-4A0E-B115-38D7729F782B}"/>
    <hyperlink ref="D14" r:id="rId20" xr:uid="{729412BC-22B5-4501-830A-B1577DBECB48}"/>
    <hyperlink ref="D16" r:id="rId21" xr:uid="{F90844F2-AE85-4EEB-B698-92062F149AF5}"/>
    <hyperlink ref="D17" r:id="rId22" xr:uid="{2E01CCFD-E432-4A38-A94D-562897A6651B}"/>
    <hyperlink ref="D18" r:id="rId23" xr:uid="{3834B055-4C4E-4003-B5A2-F9D3BA22538C}"/>
    <hyperlink ref="D20" r:id="rId24" xr:uid="{158A6844-5A17-4903-A6A5-C6BB0043F14E}"/>
    <hyperlink ref="D21" r:id="rId25" xr:uid="{1E51C444-BD3C-4324-8B9B-A5EE9D66E874}"/>
    <hyperlink ref="D22" r:id="rId26" xr:uid="{B59115C4-23E1-428C-867A-0F03459A8EB8}"/>
    <hyperlink ref="D26" r:id="rId27" xr:uid="{094FD151-3D11-4848-A8AD-46CEBE9A93F8}"/>
    <hyperlink ref="D30" r:id="rId28" xr:uid="{5F7663F7-25A6-4BAB-859C-85BE97F86D34}"/>
    <hyperlink ref="D31" r:id="rId29" xr:uid="{D44FE023-8A13-4284-A515-723C04A77C62}"/>
    <hyperlink ref="D32" r:id="rId30" xr:uid="{EF3163E8-EB0A-44A3-93C4-9DB7522FF8E1}"/>
    <hyperlink ref="D33" r:id="rId31" xr:uid="{08E412AB-9076-4A94-8DDB-42CBFA7F6216}"/>
    <hyperlink ref="D34" r:id="rId32" xr:uid="{1030310A-3CD2-4A1C-96A8-DAB4B8FA90BE}"/>
  </hyperlinks>
  <pageMargins left="0.7" right="0.7" top="0.75" bottom="0.75" header="0.3" footer="0.3"/>
  <pageSetup orientation="portrait" horizontalDpi="4294967294" verticalDpi="4294967294" r:id="rId33"/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56AF-E695-4536-ACDF-E7C6E1E91652}">
  <dimension ref="A1:I66"/>
  <sheetViews>
    <sheetView showGridLines="0" workbookViewId="0"/>
  </sheetViews>
  <sheetFormatPr baseColWidth="10" defaultColWidth="11.44140625" defaultRowHeight="14.4" x14ac:dyDescent="0.3"/>
  <cols>
    <col min="1" max="1" width="11.44140625" style="84"/>
    <col min="2" max="2" width="15.5546875" style="105" customWidth="1"/>
    <col min="3" max="3" width="8.44140625" style="104" customWidth="1"/>
    <col min="4" max="6" width="25.5546875" style="84" customWidth="1"/>
    <col min="7" max="7" width="28.6640625" style="104" customWidth="1"/>
    <col min="8" max="8" width="16.88671875" style="104" customWidth="1"/>
    <col min="9" max="16384" width="11.44140625" style="84"/>
  </cols>
  <sheetData>
    <row r="1" spans="1:8" ht="23.4" x14ac:dyDescent="0.3">
      <c r="A1" s="83" t="s">
        <v>290</v>
      </c>
      <c r="C1" s="84"/>
      <c r="G1" s="84"/>
      <c r="H1" s="84"/>
    </row>
    <row r="2" spans="1:8" x14ac:dyDescent="0.3">
      <c r="C2" s="84"/>
      <c r="G2" s="84"/>
      <c r="H2" s="84"/>
    </row>
    <row r="3" spans="1:8" x14ac:dyDescent="0.3">
      <c r="A3" s="85" t="s">
        <v>391</v>
      </c>
      <c r="C3" s="85"/>
      <c r="G3" s="84"/>
      <c r="H3" s="84"/>
    </row>
    <row r="4" spans="1:8" x14ac:dyDescent="0.3">
      <c r="A4" s="86" t="s">
        <v>291</v>
      </c>
      <c r="C4" s="85"/>
      <c r="G4" s="84"/>
      <c r="H4" s="84"/>
    </row>
    <row r="5" spans="1:8" ht="43.2" customHeight="1" x14ac:dyDescent="0.3">
      <c r="A5" s="141" t="s">
        <v>393</v>
      </c>
      <c r="B5" s="141" t="s">
        <v>243</v>
      </c>
      <c r="C5" s="141" t="s">
        <v>245</v>
      </c>
      <c r="D5" s="141" t="s">
        <v>292</v>
      </c>
      <c r="E5" s="141"/>
      <c r="F5" s="141" t="s">
        <v>293</v>
      </c>
      <c r="G5" s="141"/>
      <c r="H5" s="141" t="s">
        <v>294</v>
      </c>
    </row>
    <row r="6" spans="1:8" x14ac:dyDescent="0.3">
      <c r="A6" s="141"/>
      <c r="B6" s="141"/>
      <c r="C6" s="141"/>
      <c r="D6" s="106" t="s">
        <v>295</v>
      </c>
      <c r="E6" s="106" t="s">
        <v>296</v>
      </c>
      <c r="F6" s="106" t="s">
        <v>295</v>
      </c>
      <c r="G6" s="106" t="s">
        <v>297</v>
      </c>
      <c r="H6" s="141"/>
    </row>
    <row r="7" spans="1:8" ht="15" customHeight="1" x14ac:dyDescent="0.3">
      <c r="A7" s="142">
        <v>1</v>
      </c>
      <c r="B7" s="142" t="s">
        <v>95</v>
      </c>
      <c r="C7" s="147" t="str">
        <f>HYPERLINK("http://www.gesetze-im-internet.de/ampreisv/BJNR021470980.html","Link")</f>
        <v>Link</v>
      </c>
      <c r="D7" s="97" t="s">
        <v>298</v>
      </c>
      <c r="E7" s="108">
        <v>0.21</v>
      </c>
      <c r="F7" s="109" t="s">
        <v>299</v>
      </c>
      <c r="G7" s="108">
        <v>0.68</v>
      </c>
      <c r="H7" s="159">
        <v>42859</v>
      </c>
    </row>
    <row r="8" spans="1:8" ht="15" customHeight="1" x14ac:dyDescent="0.3">
      <c r="A8" s="142"/>
      <c r="B8" s="142"/>
      <c r="C8" s="149"/>
      <c r="D8" s="87" t="s">
        <v>300</v>
      </c>
      <c r="E8" s="88">
        <v>0.18</v>
      </c>
      <c r="F8" s="87" t="s">
        <v>301</v>
      </c>
      <c r="G8" s="88">
        <v>0.83</v>
      </c>
      <c r="H8" s="160"/>
    </row>
    <row r="9" spans="1:8" ht="15" customHeight="1" x14ac:dyDescent="0.3">
      <c r="A9" s="142"/>
      <c r="B9" s="142"/>
      <c r="C9" s="149"/>
      <c r="D9" s="87" t="s">
        <v>302</v>
      </c>
      <c r="E9" s="89">
        <v>0.2</v>
      </c>
      <c r="F9" s="87" t="s">
        <v>303</v>
      </c>
      <c r="G9" s="89">
        <v>0.62</v>
      </c>
      <c r="H9" s="160"/>
    </row>
    <row r="10" spans="1:8" ht="15" customHeight="1" x14ac:dyDescent="0.3">
      <c r="A10" s="142"/>
      <c r="B10" s="142"/>
      <c r="C10" s="149"/>
      <c r="D10" s="87" t="s">
        <v>304</v>
      </c>
      <c r="E10" s="88">
        <v>0.34</v>
      </c>
      <c r="F10" s="87" t="s">
        <v>305</v>
      </c>
      <c r="G10" s="88">
        <v>2.41</v>
      </c>
      <c r="H10" s="160"/>
    </row>
    <row r="11" spans="1:8" ht="15" customHeight="1" x14ac:dyDescent="0.3">
      <c r="A11" s="142"/>
      <c r="B11" s="142"/>
      <c r="C11" s="149"/>
      <c r="D11" s="87" t="s">
        <v>306</v>
      </c>
      <c r="E11" s="90">
        <v>0.19500000000000001</v>
      </c>
      <c r="F11" s="87" t="s">
        <v>307</v>
      </c>
      <c r="G11" s="90">
        <v>0.56999999999999995</v>
      </c>
      <c r="H11" s="160"/>
    </row>
    <row r="12" spans="1:8" ht="15" customHeight="1" x14ac:dyDescent="0.3">
      <c r="A12" s="142"/>
      <c r="B12" s="142"/>
      <c r="C12" s="149"/>
      <c r="D12" s="87" t="s">
        <v>308</v>
      </c>
      <c r="E12" s="88">
        <v>0.5</v>
      </c>
      <c r="F12" s="87" t="s">
        <v>309</v>
      </c>
      <c r="G12" s="88">
        <v>4.16</v>
      </c>
      <c r="H12" s="160"/>
    </row>
    <row r="13" spans="1:8" ht="15" customHeight="1" x14ac:dyDescent="0.3">
      <c r="A13" s="142"/>
      <c r="B13" s="142"/>
      <c r="C13" s="149"/>
      <c r="D13" s="87" t="s">
        <v>310</v>
      </c>
      <c r="E13" s="89">
        <v>0.19</v>
      </c>
      <c r="F13" s="87" t="s">
        <v>311</v>
      </c>
      <c r="G13" s="89">
        <v>0.48</v>
      </c>
      <c r="H13" s="160"/>
    </row>
    <row r="14" spans="1:8" ht="15" customHeight="1" x14ac:dyDescent="0.3">
      <c r="A14" s="142"/>
      <c r="B14" s="142"/>
      <c r="C14" s="149"/>
      <c r="D14" s="87" t="s">
        <v>312</v>
      </c>
      <c r="E14" s="88">
        <v>0.7</v>
      </c>
      <c r="F14" s="87" t="s">
        <v>313</v>
      </c>
      <c r="G14" s="88">
        <v>5.83</v>
      </c>
      <c r="H14" s="160"/>
    </row>
    <row r="15" spans="1:8" ht="15" customHeight="1" x14ac:dyDescent="0.3">
      <c r="A15" s="142"/>
      <c r="B15" s="142"/>
      <c r="C15" s="149"/>
      <c r="D15" s="87" t="s">
        <v>314</v>
      </c>
      <c r="E15" s="90">
        <v>0.185</v>
      </c>
      <c r="F15" s="87" t="s">
        <v>315</v>
      </c>
      <c r="G15" s="90">
        <v>0.43</v>
      </c>
      <c r="H15" s="160"/>
    </row>
    <row r="16" spans="1:8" ht="15" customHeight="1" x14ac:dyDescent="0.3">
      <c r="A16" s="142"/>
      <c r="B16" s="142"/>
      <c r="C16" s="149"/>
      <c r="D16" s="87" t="s">
        <v>316</v>
      </c>
      <c r="E16" s="88">
        <v>1.1200000000000001</v>
      </c>
      <c r="F16" s="87" t="s">
        <v>317</v>
      </c>
      <c r="G16" s="88">
        <v>8.35</v>
      </c>
      <c r="H16" s="160"/>
    </row>
    <row r="17" spans="1:9" ht="15" customHeight="1" x14ac:dyDescent="0.3">
      <c r="A17" s="142"/>
      <c r="B17" s="142"/>
      <c r="C17" s="149"/>
      <c r="D17" s="87" t="s">
        <v>318</v>
      </c>
      <c r="E17" s="90">
        <v>0.18</v>
      </c>
      <c r="F17" s="87" t="s">
        <v>319</v>
      </c>
      <c r="G17" s="90">
        <v>0.37</v>
      </c>
      <c r="H17" s="160"/>
    </row>
    <row r="18" spans="1:9" ht="15" customHeight="1" x14ac:dyDescent="0.3">
      <c r="A18" s="142"/>
      <c r="B18" s="142"/>
      <c r="C18" s="149"/>
      <c r="D18" s="87" t="s">
        <v>320</v>
      </c>
      <c r="E18" s="88">
        <v>1.64</v>
      </c>
      <c r="F18" s="87" t="s">
        <v>321</v>
      </c>
      <c r="G18" s="88">
        <v>10.78</v>
      </c>
      <c r="H18" s="160"/>
    </row>
    <row r="19" spans="1:9" ht="15" customHeight="1" x14ac:dyDescent="0.3">
      <c r="A19" s="142"/>
      <c r="B19" s="142"/>
      <c r="C19" s="149"/>
      <c r="D19" s="87" t="s">
        <v>322</v>
      </c>
      <c r="E19" s="90">
        <v>0.15</v>
      </c>
      <c r="F19" s="87" t="s">
        <v>323</v>
      </c>
      <c r="G19" s="90">
        <v>0.3</v>
      </c>
      <c r="H19" s="160"/>
    </row>
    <row r="20" spans="1:9" ht="15" customHeight="1" x14ac:dyDescent="0.3">
      <c r="A20" s="142"/>
      <c r="B20" s="142"/>
      <c r="C20" s="149"/>
      <c r="D20" s="87" t="s">
        <v>324</v>
      </c>
      <c r="E20" s="88">
        <v>6.67</v>
      </c>
      <c r="F20" s="87" t="s">
        <v>325</v>
      </c>
      <c r="G20" s="91" t="s">
        <v>326</v>
      </c>
      <c r="H20" s="160"/>
      <c r="I20" s="92"/>
    </row>
    <row r="21" spans="1:9" ht="15" customHeight="1" x14ac:dyDescent="0.3">
      <c r="A21" s="142"/>
      <c r="B21" s="142"/>
      <c r="C21" s="149"/>
      <c r="D21" s="87" t="s">
        <v>327</v>
      </c>
      <c r="E21" s="90">
        <v>0.12</v>
      </c>
      <c r="F21" s="87"/>
      <c r="G21" s="90"/>
      <c r="H21" s="160"/>
    </row>
    <row r="22" spans="1:9" ht="15" customHeight="1" x14ac:dyDescent="0.3">
      <c r="A22" s="142"/>
      <c r="B22" s="142"/>
      <c r="C22" s="149"/>
      <c r="D22" s="87" t="s">
        <v>328</v>
      </c>
      <c r="E22" s="90" t="s">
        <v>329</v>
      </c>
      <c r="F22" s="87"/>
      <c r="G22" s="90"/>
      <c r="H22" s="160"/>
    </row>
    <row r="23" spans="1:9" x14ac:dyDescent="0.3">
      <c r="A23" s="139">
        <v>2</v>
      </c>
      <c r="B23" s="156" t="s">
        <v>58</v>
      </c>
      <c r="C23" s="150" t="str">
        <f>HYPERLINK("https://www.pbs.gov.au/info/healthpro/explanatory-notes/front/fee","Link 1")</f>
        <v>Link 1</v>
      </c>
      <c r="D23" s="94" t="s">
        <v>330</v>
      </c>
      <c r="E23" s="96">
        <v>0.41</v>
      </c>
      <c r="F23" s="151"/>
      <c r="G23" s="157"/>
      <c r="H23" s="153">
        <v>45292</v>
      </c>
    </row>
    <row r="24" spans="1:9" x14ac:dyDescent="0.3">
      <c r="A24" s="139"/>
      <c r="B24" s="156"/>
      <c r="C24" s="150"/>
      <c r="D24" s="151" t="s">
        <v>331</v>
      </c>
      <c r="E24" s="157">
        <v>7.5200000000000003E-2</v>
      </c>
      <c r="F24" s="151"/>
      <c r="G24" s="157"/>
      <c r="H24" s="153"/>
    </row>
    <row r="25" spans="1:9" x14ac:dyDescent="0.3">
      <c r="A25" s="139"/>
      <c r="B25" s="156"/>
      <c r="C25" s="150"/>
      <c r="D25" s="151"/>
      <c r="E25" s="157"/>
      <c r="F25" s="151"/>
      <c r="G25" s="157"/>
      <c r="H25" s="153"/>
    </row>
    <row r="26" spans="1:9" x14ac:dyDescent="0.3">
      <c r="A26" s="139"/>
      <c r="B26" s="156"/>
      <c r="C26" s="150"/>
      <c r="D26" s="151"/>
      <c r="E26" s="157"/>
      <c r="F26" s="151"/>
      <c r="G26" s="157"/>
      <c r="H26" s="153"/>
    </row>
    <row r="27" spans="1:9" x14ac:dyDescent="0.3">
      <c r="A27" s="139"/>
      <c r="B27" s="156"/>
      <c r="C27" s="150"/>
      <c r="D27" s="151"/>
      <c r="E27" s="157"/>
      <c r="F27" s="151"/>
      <c r="G27" s="157"/>
      <c r="H27" s="153"/>
    </row>
    <row r="28" spans="1:9" x14ac:dyDescent="0.3">
      <c r="A28" s="139"/>
      <c r="B28" s="156"/>
      <c r="C28" s="150"/>
      <c r="D28" s="151"/>
      <c r="E28" s="157"/>
      <c r="F28" s="151"/>
      <c r="G28" s="157"/>
      <c r="H28" s="153"/>
    </row>
    <row r="29" spans="1:9" x14ac:dyDescent="0.3">
      <c r="A29" s="139"/>
      <c r="B29" s="156"/>
      <c r="C29" s="150"/>
      <c r="D29" s="151" t="s">
        <v>332</v>
      </c>
      <c r="E29" s="158">
        <v>54.14</v>
      </c>
      <c r="F29" s="94" t="s">
        <v>333</v>
      </c>
      <c r="G29" s="96">
        <v>4.62</v>
      </c>
      <c r="H29" s="153">
        <v>45292</v>
      </c>
    </row>
    <row r="30" spans="1:9" x14ac:dyDescent="0.3">
      <c r="A30" s="139"/>
      <c r="B30" s="156"/>
      <c r="C30" s="150"/>
      <c r="D30" s="151"/>
      <c r="E30" s="158"/>
      <c r="F30" s="94" t="s">
        <v>334</v>
      </c>
      <c r="G30" s="95" t="s">
        <v>335</v>
      </c>
      <c r="H30" s="153"/>
    </row>
    <row r="31" spans="1:9" x14ac:dyDescent="0.3">
      <c r="A31" s="139"/>
      <c r="B31" s="156"/>
      <c r="C31" s="150"/>
      <c r="D31" s="151"/>
      <c r="E31" s="158"/>
      <c r="F31" s="94" t="s">
        <v>336</v>
      </c>
      <c r="G31" s="103">
        <v>0.99619999999999997</v>
      </c>
      <c r="H31" s="153"/>
    </row>
    <row r="32" spans="1:9" x14ac:dyDescent="0.3">
      <c r="A32" s="140">
        <v>3</v>
      </c>
      <c r="B32" s="142" t="s">
        <v>337</v>
      </c>
      <c r="C32" s="82" t="str">
        <f>HYPERLINK("https://www.gov.br/anvisa/pt-br/assuntos/medicamentos/cmed/precos/arquivos/pdf_conformidade_site_20240207_072034579.pdf/@@download/file","Link 1")</f>
        <v>Link 1</v>
      </c>
      <c r="D32" s="97"/>
      <c r="E32" s="111"/>
      <c r="F32" s="97" t="s">
        <v>338</v>
      </c>
      <c r="G32" s="112">
        <v>0.22</v>
      </c>
      <c r="H32" s="113">
        <v>45329</v>
      </c>
    </row>
    <row r="33" spans="1:8" x14ac:dyDescent="0.3">
      <c r="A33" s="140"/>
      <c r="B33" s="142"/>
      <c r="C33" s="82" t="str">
        <f>HYPERLINK("https://ppri.goeg.at/sites/ppri.goeg.at/files/inline-files/_Country_Poster_Book%20_final_V2.pdf","Link 2")</f>
        <v>Link 2</v>
      </c>
      <c r="D33" s="97" t="s">
        <v>338</v>
      </c>
      <c r="E33" s="112" t="s">
        <v>339</v>
      </c>
      <c r="F33" s="97"/>
      <c r="G33" s="112"/>
      <c r="H33" s="114">
        <v>43755</v>
      </c>
    </row>
    <row r="34" spans="1:8" x14ac:dyDescent="0.3">
      <c r="A34" s="126">
        <v>4</v>
      </c>
      <c r="B34" s="115" t="s">
        <v>96</v>
      </c>
      <c r="C34" s="93" t="str">
        <f>HYPERLINK("https://www.canada.ca/en/patented-medicine-prices-review/services/npduis/analytical-studies/supporting-information/markup-policies-public-drug.html","Link 1")</f>
        <v>Link 1</v>
      </c>
      <c r="D34" s="116" t="s">
        <v>338</v>
      </c>
      <c r="E34" s="117">
        <v>0.09</v>
      </c>
      <c r="F34" s="116"/>
      <c r="G34" s="101"/>
      <c r="H34" s="118">
        <v>45306</v>
      </c>
    </row>
    <row r="35" spans="1:8" x14ac:dyDescent="0.3">
      <c r="A35" s="140">
        <v>5</v>
      </c>
      <c r="B35" s="142" t="s">
        <v>98</v>
      </c>
      <c r="C35" s="146" t="str">
        <f>HYPERLINK("http://www.boe.es/buscar/act.php?id=BOE-A-2008-9291","Link")</f>
        <v>Link</v>
      </c>
      <c r="D35" s="97" t="s">
        <v>340</v>
      </c>
      <c r="E35" s="108">
        <v>7.5999999999999998E-2</v>
      </c>
      <c r="F35" s="97" t="s">
        <v>341</v>
      </c>
      <c r="G35" s="108">
        <v>0.27900000000000003</v>
      </c>
      <c r="H35" s="148">
        <v>44895</v>
      </c>
    </row>
    <row r="36" spans="1:8" x14ac:dyDescent="0.3">
      <c r="A36" s="140"/>
      <c r="B36" s="142"/>
      <c r="C36" s="147"/>
      <c r="D36" s="149" t="s">
        <v>342</v>
      </c>
      <c r="E36" s="154">
        <v>7.54</v>
      </c>
      <c r="F36" s="87" t="s">
        <v>343</v>
      </c>
      <c r="G36" s="88">
        <v>38.369999999999997</v>
      </c>
      <c r="H36" s="148"/>
    </row>
    <row r="37" spans="1:8" x14ac:dyDescent="0.3">
      <c r="A37" s="140"/>
      <c r="B37" s="142"/>
      <c r="C37" s="147"/>
      <c r="D37" s="149"/>
      <c r="E37" s="155"/>
      <c r="F37" s="87" t="s">
        <v>344</v>
      </c>
      <c r="G37" s="88">
        <v>43.37</v>
      </c>
      <c r="H37" s="148"/>
    </row>
    <row r="38" spans="1:8" x14ac:dyDescent="0.3">
      <c r="A38" s="140"/>
      <c r="B38" s="142"/>
      <c r="C38" s="147"/>
      <c r="D38" s="149"/>
      <c r="E38" s="155"/>
      <c r="F38" s="87" t="s">
        <v>345</v>
      </c>
      <c r="G38" s="88">
        <v>48.37</v>
      </c>
      <c r="H38" s="148"/>
    </row>
    <row r="39" spans="1:8" x14ac:dyDescent="0.3">
      <c r="A39" s="139">
        <v>6</v>
      </c>
      <c r="B39" s="143" t="s">
        <v>39</v>
      </c>
      <c r="C39" s="150" t="str">
        <f>HYPERLINK("https://www.legifrance.gouv.fr/affichTexte.do?cidTexte=JORFTEXT000000843609","Link")</f>
        <v>Link</v>
      </c>
      <c r="D39" s="151" t="s">
        <v>346</v>
      </c>
      <c r="E39" s="152">
        <v>6.93E-2</v>
      </c>
      <c r="F39" s="116" t="s">
        <v>347</v>
      </c>
      <c r="G39" s="117">
        <v>0.1</v>
      </c>
      <c r="H39" s="153" t="s">
        <v>348</v>
      </c>
    </row>
    <row r="40" spans="1:8" x14ac:dyDescent="0.3">
      <c r="A40" s="139"/>
      <c r="B40" s="143"/>
      <c r="C40" s="144"/>
      <c r="D40" s="151"/>
      <c r="E40" s="151"/>
      <c r="F40" s="98" t="s">
        <v>349</v>
      </c>
      <c r="G40" s="99">
        <v>7.0000000000000007E-2</v>
      </c>
      <c r="H40" s="153"/>
    </row>
    <row r="41" spans="1:8" x14ac:dyDescent="0.3">
      <c r="A41" s="139"/>
      <c r="B41" s="143"/>
      <c r="C41" s="144"/>
      <c r="D41" s="94" t="s">
        <v>350</v>
      </c>
      <c r="E41" s="100">
        <v>0</v>
      </c>
      <c r="F41" s="98" t="s">
        <v>351</v>
      </c>
      <c r="G41" s="99">
        <v>5.5E-2</v>
      </c>
      <c r="H41" s="153"/>
    </row>
    <row r="42" spans="1:8" x14ac:dyDescent="0.3">
      <c r="A42" s="139"/>
      <c r="B42" s="143"/>
      <c r="C42" s="144"/>
      <c r="D42" s="94"/>
      <c r="E42" s="100"/>
      <c r="F42" s="98" t="s">
        <v>352</v>
      </c>
      <c r="G42" s="101">
        <v>0.05</v>
      </c>
      <c r="H42" s="153"/>
    </row>
    <row r="43" spans="1:8" x14ac:dyDescent="0.3">
      <c r="A43" s="139"/>
      <c r="B43" s="143"/>
      <c r="C43" s="144"/>
      <c r="D43" s="94"/>
      <c r="E43" s="100"/>
      <c r="F43" s="98" t="s">
        <v>353</v>
      </c>
      <c r="G43" s="101">
        <v>0</v>
      </c>
      <c r="H43" s="153"/>
    </row>
    <row r="44" spans="1:8" x14ac:dyDescent="0.3">
      <c r="A44" s="125">
        <v>7</v>
      </c>
      <c r="B44" s="107" t="s">
        <v>141</v>
      </c>
      <c r="C44" s="82" t="str">
        <f>HYPERLINK("https://sfee.gr/wp-content/uploads/2015/04/Ministerial-Decision-Pricing-of-Medicines.pdf","Link")</f>
        <v>Link</v>
      </c>
      <c r="D44" s="97" t="s">
        <v>338</v>
      </c>
      <c r="E44" s="90">
        <v>5.3999999999999999E-2</v>
      </c>
      <c r="F44" s="119" t="s">
        <v>354</v>
      </c>
      <c r="G44" s="120">
        <v>0.35</v>
      </c>
      <c r="H44" s="114"/>
    </row>
    <row r="45" spans="1:8" x14ac:dyDescent="0.3">
      <c r="A45" s="139">
        <v>8</v>
      </c>
      <c r="B45" s="143" t="s">
        <v>107</v>
      </c>
      <c r="C45" s="93" t="str">
        <f>HYPERLINK("https://www.nppaindia.nic.in/wp-content/uploads/2018/12/DPCO2013_03082016.pdf","Link")</f>
        <v>Link</v>
      </c>
      <c r="D45" s="94"/>
      <c r="E45" s="100"/>
      <c r="F45" s="98" t="s">
        <v>355</v>
      </c>
      <c r="G45" s="101">
        <v>0.16</v>
      </c>
      <c r="H45" s="110">
        <v>42451</v>
      </c>
    </row>
    <row r="46" spans="1:8" x14ac:dyDescent="0.3">
      <c r="A46" s="139"/>
      <c r="B46" s="143"/>
      <c r="C46" s="93" t="str">
        <f>HYPERLINK("https://pharmaceuticals.gov.in/sites/default/files/High%20treade%20margin%20report%20and%20latter%20_0.pdf","Link")</f>
        <v>Link</v>
      </c>
      <c r="D46" s="94" t="s">
        <v>338</v>
      </c>
      <c r="E46" s="121">
        <v>0.08</v>
      </c>
      <c r="F46" s="98"/>
      <c r="G46" s="101"/>
      <c r="H46" s="110">
        <v>42436</v>
      </c>
    </row>
    <row r="47" spans="1:8" x14ac:dyDescent="0.3">
      <c r="A47" s="125">
        <v>9</v>
      </c>
      <c r="B47" s="107" t="s">
        <v>101</v>
      </c>
      <c r="C47" s="122" t="s">
        <v>356</v>
      </c>
      <c r="D47" s="123"/>
      <c r="E47" s="124"/>
      <c r="F47" s="119" t="s">
        <v>354</v>
      </c>
      <c r="G47" s="120">
        <v>0.25</v>
      </c>
      <c r="H47" s="114">
        <v>42005</v>
      </c>
    </row>
    <row r="48" spans="1:8" x14ac:dyDescent="0.3">
      <c r="A48" s="139">
        <v>10</v>
      </c>
      <c r="B48" s="143" t="s">
        <v>99</v>
      </c>
      <c r="C48" s="144" t="str">
        <f>HYPERLINK("https://dre.pt/web/guest/legislacao-consolidada/-
/lc/75667692/201704111512/exportPdf/normal/1/cacheLevelPage?_LegislacaoConsolidada_WAR_drefrontofficeportlet_rp=indice","Link")</f>
        <v>Link</v>
      </c>
      <c r="D48" s="94" t="s">
        <v>357</v>
      </c>
      <c r="E48" s="103" t="s">
        <v>358</v>
      </c>
      <c r="F48" s="94" t="s">
        <v>357</v>
      </c>
      <c r="G48" s="94" t="s">
        <v>359</v>
      </c>
      <c r="H48" s="145">
        <v>41675</v>
      </c>
    </row>
    <row r="49" spans="1:8" x14ac:dyDescent="0.3">
      <c r="A49" s="139"/>
      <c r="B49" s="143"/>
      <c r="C49" s="144"/>
      <c r="D49" s="102" t="s">
        <v>360</v>
      </c>
      <c r="E49" s="103" t="s">
        <v>361</v>
      </c>
      <c r="F49" s="102" t="s">
        <v>360</v>
      </c>
      <c r="G49" s="102" t="s">
        <v>362</v>
      </c>
      <c r="H49" s="145"/>
    </row>
    <row r="50" spans="1:8" x14ac:dyDescent="0.3">
      <c r="A50" s="139"/>
      <c r="B50" s="143"/>
      <c r="C50" s="144"/>
      <c r="D50" s="102" t="s">
        <v>363</v>
      </c>
      <c r="E50" s="103" t="s">
        <v>364</v>
      </c>
      <c r="F50" s="102" t="s">
        <v>363</v>
      </c>
      <c r="G50" s="102" t="s">
        <v>365</v>
      </c>
      <c r="H50" s="145"/>
    </row>
    <row r="51" spans="1:8" x14ac:dyDescent="0.3">
      <c r="A51" s="139"/>
      <c r="B51" s="143"/>
      <c r="C51" s="144"/>
      <c r="D51" s="102" t="s">
        <v>366</v>
      </c>
      <c r="E51" s="103" t="s">
        <v>367</v>
      </c>
      <c r="F51" s="102" t="s">
        <v>366</v>
      </c>
      <c r="G51" s="102" t="s">
        <v>368</v>
      </c>
      <c r="H51" s="145"/>
    </row>
    <row r="52" spans="1:8" x14ac:dyDescent="0.3">
      <c r="A52" s="139"/>
      <c r="B52" s="143"/>
      <c r="C52" s="144"/>
      <c r="D52" s="102" t="s">
        <v>369</v>
      </c>
      <c r="E52" s="103" t="s">
        <v>370</v>
      </c>
      <c r="F52" s="102" t="s">
        <v>369</v>
      </c>
      <c r="G52" s="102" t="s">
        <v>371</v>
      </c>
      <c r="H52" s="145"/>
    </row>
    <row r="53" spans="1:8" x14ac:dyDescent="0.3">
      <c r="A53" s="139"/>
      <c r="B53" s="143"/>
      <c r="C53" s="144"/>
      <c r="D53" s="102" t="s">
        <v>372</v>
      </c>
      <c r="E53" s="103" t="s">
        <v>373</v>
      </c>
      <c r="F53" s="102" t="s">
        <v>372</v>
      </c>
      <c r="G53" s="102" t="s">
        <v>374</v>
      </c>
      <c r="H53" s="145"/>
    </row>
    <row r="54" spans="1:8" x14ac:dyDescent="0.3">
      <c r="A54" s="140">
        <v>11</v>
      </c>
      <c r="B54" s="142" t="s">
        <v>142</v>
      </c>
      <c r="C54" s="146" t="str">
        <f>HYPERLINK("www.gov.za/sites/default/files/gcis_document/201409/35699rg9830gon770.pdf","Link1")</f>
        <v>Link1</v>
      </c>
      <c r="D54" s="97" t="s">
        <v>375</v>
      </c>
      <c r="E54" s="97" t="s">
        <v>376</v>
      </c>
      <c r="F54" s="97"/>
      <c r="G54" s="97"/>
      <c r="H54" s="148">
        <v>41170</v>
      </c>
    </row>
    <row r="55" spans="1:8" x14ac:dyDescent="0.3">
      <c r="A55" s="140"/>
      <c r="B55" s="142"/>
      <c r="C55" s="147"/>
      <c r="D55" s="97" t="s">
        <v>377</v>
      </c>
      <c r="E55" s="97" t="s">
        <v>378</v>
      </c>
      <c r="F55" s="97"/>
      <c r="G55" s="97"/>
      <c r="H55" s="148"/>
    </row>
    <row r="56" spans="1:8" x14ac:dyDescent="0.3">
      <c r="A56" s="140"/>
      <c r="B56" s="142"/>
      <c r="C56" s="147"/>
      <c r="D56" s="97" t="s">
        <v>379</v>
      </c>
      <c r="E56" s="97" t="s">
        <v>380</v>
      </c>
      <c r="F56" s="97"/>
      <c r="G56" s="97"/>
      <c r="H56" s="148"/>
    </row>
    <row r="57" spans="1:8" x14ac:dyDescent="0.3">
      <c r="A57" s="140"/>
      <c r="B57" s="142"/>
      <c r="C57" s="147"/>
      <c r="D57" s="97" t="s">
        <v>381</v>
      </c>
      <c r="E57" s="97" t="s">
        <v>382</v>
      </c>
      <c r="F57" s="97"/>
      <c r="G57" s="97"/>
      <c r="H57" s="148"/>
    </row>
    <row r="58" spans="1:8" x14ac:dyDescent="0.3">
      <c r="A58" s="140"/>
      <c r="B58" s="142"/>
      <c r="C58" s="146" t="str">
        <f>HYPERLINK("www.gov.za/sites/default/files/gcis_document/201409/35699rg9830gon770.pdf","Link2")</f>
        <v>Link2</v>
      </c>
      <c r="D58" s="97"/>
      <c r="E58" s="97"/>
      <c r="F58" s="97" t="s">
        <v>383</v>
      </c>
      <c r="G58" s="97" t="s">
        <v>384</v>
      </c>
      <c r="H58" s="148">
        <v>45163</v>
      </c>
    </row>
    <row r="59" spans="1:8" x14ac:dyDescent="0.3">
      <c r="A59" s="140"/>
      <c r="B59" s="142"/>
      <c r="C59" s="147"/>
      <c r="D59" s="97"/>
      <c r="E59" s="97"/>
      <c r="F59" s="97" t="s">
        <v>385</v>
      </c>
      <c r="G59" s="97" t="s">
        <v>386</v>
      </c>
      <c r="H59" s="149"/>
    </row>
    <row r="60" spans="1:8" x14ac:dyDescent="0.3">
      <c r="A60" s="140"/>
      <c r="B60" s="142"/>
      <c r="C60" s="147"/>
      <c r="D60" s="97"/>
      <c r="E60" s="97"/>
      <c r="F60" s="97" t="s">
        <v>387</v>
      </c>
      <c r="G60" s="97" t="s">
        <v>388</v>
      </c>
      <c r="H60" s="149"/>
    </row>
    <row r="61" spans="1:8" x14ac:dyDescent="0.3">
      <c r="A61" s="140"/>
      <c r="B61" s="142"/>
      <c r="C61" s="147"/>
      <c r="D61" s="97"/>
      <c r="E61" s="97"/>
      <c r="F61" s="97" t="s">
        <v>389</v>
      </c>
      <c r="G61" s="97" t="s">
        <v>390</v>
      </c>
      <c r="H61" s="149"/>
    </row>
    <row r="63" spans="1:8" x14ac:dyDescent="0.3">
      <c r="B63" s="84"/>
    </row>
    <row r="64" spans="1:8" x14ac:dyDescent="0.3">
      <c r="B64" s="86"/>
    </row>
    <row r="65" spans="2:2" x14ac:dyDescent="0.3">
      <c r="B65" s="86"/>
    </row>
    <row r="66" spans="2:2" x14ac:dyDescent="0.3">
      <c r="B66" s="86"/>
    </row>
  </sheetData>
  <mergeCells count="47">
    <mergeCell ref="B7:B22"/>
    <mergeCell ref="C7:C22"/>
    <mergeCell ref="H7:H22"/>
    <mergeCell ref="B5:B6"/>
    <mergeCell ref="C5:C6"/>
    <mergeCell ref="D5:E5"/>
    <mergeCell ref="F5:G5"/>
    <mergeCell ref="H5:H6"/>
    <mergeCell ref="B23:B31"/>
    <mergeCell ref="C23:C31"/>
    <mergeCell ref="F23:F28"/>
    <mergeCell ref="G23:G28"/>
    <mergeCell ref="H23:H28"/>
    <mergeCell ref="D24:D28"/>
    <mergeCell ref="E24:E28"/>
    <mergeCell ref="D29:D31"/>
    <mergeCell ref="E29:E31"/>
    <mergeCell ref="H29:H31"/>
    <mergeCell ref="B45:B46"/>
    <mergeCell ref="B32:B33"/>
    <mergeCell ref="B35:B38"/>
    <mergeCell ref="C35:C38"/>
    <mergeCell ref="H35:H38"/>
    <mergeCell ref="D36:D38"/>
    <mergeCell ref="E36:E38"/>
    <mergeCell ref="B39:B43"/>
    <mergeCell ref="C39:C43"/>
    <mergeCell ref="D39:D40"/>
    <mergeCell ref="E39:E40"/>
    <mergeCell ref="H39:H43"/>
    <mergeCell ref="B48:B53"/>
    <mergeCell ref="C48:C53"/>
    <mergeCell ref="H48:H53"/>
    <mergeCell ref="B54:B61"/>
    <mergeCell ref="C54:C57"/>
    <mergeCell ref="H54:H57"/>
    <mergeCell ref="C58:C61"/>
    <mergeCell ref="H58:H61"/>
    <mergeCell ref="A45:A46"/>
    <mergeCell ref="A48:A53"/>
    <mergeCell ref="A54:A61"/>
    <mergeCell ref="A5:A6"/>
    <mergeCell ref="A7:A22"/>
    <mergeCell ref="A23:A31"/>
    <mergeCell ref="A32:A33"/>
    <mergeCell ref="A35:A38"/>
    <mergeCell ref="A39:A43"/>
  </mergeCells>
  <hyperlinks>
    <hyperlink ref="C23" r:id="rId1" display="Link" xr:uid="{8AF42C3F-254F-4A57-9914-97D623DA47FB}"/>
    <hyperlink ref="C35" r:id="rId2" display="link" xr:uid="{8C53BC42-074A-452B-A605-0DDD231D88A8}"/>
    <hyperlink ref="C39" r:id="rId3" display="Link" xr:uid="{971B3F73-BEEA-4A03-9EAA-63F8F9766EDB}"/>
    <hyperlink ref="C47" r:id="rId4" xr:uid="{238D6121-3A75-4BD8-829F-4BFB15564EF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PRECIOS</vt:lpstr>
      <vt:lpstr>MRI</vt:lpstr>
      <vt:lpstr>TC</vt:lpstr>
      <vt:lpstr>PRI</vt:lpstr>
      <vt:lpstr>FUENTES</vt:lpstr>
      <vt:lpstr>MARGEN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Ramon Marquez Nossa</dc:creator>
  <cp:lastModifiedBy>Sergio Ramon Marquez Nossa</cp:lastModifiedBy>
  <dcterms:created xsi:type="dcterms:W3CDTF">2024-02-21T17:44:55Z</dcterms:created>
  <dcterms:modified xsi:type="dcterms:W3CDTF">2024-06-06T16:57:25Z</dcterms:modified>
</cp:coreProperties>
</file>